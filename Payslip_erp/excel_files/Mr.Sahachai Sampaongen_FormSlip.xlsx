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\"/>
    </mc:Choice>
  </mc:AlternateContent>
  <xr:revisionPtr revIDLastSave="0" documentId="13_ncr:1_{2A77B52F-88DB-4AC8-B40D-CB042CF25834}" xr6:coauthVersionLast="47" xr6:coauthVersionMax="47" xr10:uidLastSave="{00000000-0000-0000-0000-000000000000}"/>
  <bookViews>
    <workbookView xWindow="-120" yWindow="-120" windowWidth="15600" windowHeight="11160" tabRatio="601" firstSheet="8" activeTab="12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44" l="1"/>
  <c r="J17" i="44"/>
  <c r="J18" i="44"/>
  <c r="J19" i="44"/>
  <c r="J20" i="44"/>
  <c r="J21" i="44"/>
  <c r="J22" i="44"/>
  <c r="J23" i="44"/>
  <c r="J24" i="44"/>
  <c r="J25" i="44"/>
  <c r="J26" i="44"/>
  <c r="J15" i="44"/>
  <c r="D24" i="54"/>
  <c r="I16" i="60"/>
  <c r="D24" i="55"/>
  <c r="D24" i="56" s="1"/>
  <c r="D24" i="57" s="1"/>
  <c r="D24" i="58" s="1"/>
  <c r="D24" i="59" s="1"/>
  <c r="D24" i="60" s="1"/>
  <c r="D24" i="53"/>
  <c r="D24" i="52"/>
  <c r="D24" i="51"/>
  <c r="D24" i="50"/>
  <c r="C24" i="28"/>
  <c r="C24" i="50" s="1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I16" i="50"/>
  <c r="I24" i="50" s="1"/>
  <c r="F8" i="28"/>
  <c r="F7" i="28"/>
  <c r="I20" i="60"/>
  <c r="I20" i="59"/>
  <c r="I16" i="59"/>
  <c r="I20" i="58"/>
  <c r="I16" i="58"/>
  <c r="I24" i="58" s="1"/>
  <c r="I20" i="57"/>
  <c r="I16" i="57"/>
  <c r="I20" i="56"/>
  <c r="I16" i="56"/>
  <c r="I24" i="56" s="1"/>
  <c r="I20" i="55"/>
  <c r="I16" i="55"/>
  <c r="I20" i="54"/>
  <c r="I16" i="54"/>
  <c r="I24" i="54" s="1"/>
  <c r="I20" i="53"/>
  <c r="I16" i="53"/>
  <c r="I20" i="52"/>
  <c r="I16" i="52"/>
  <c r="I24" i="52" s="1"/>
  <c r="I20" i="51"/>
  <c r="I16" i="5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60" l="1"/>
  <c r="I24" i="51"/>
  <c r="I24" i="53"/>
  <c r="I24" i="55"/>
  <c r="I24" i="57"/>
  <c r="I24" i="59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I24" i="28" s="1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<sst xmlns="http://schemas.openxmlformats.org/spreadsheetml/2006/main" count="722" uniqueCount="124">
  <si>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</si>
  <si>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</si>
  <si>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</si>
  <si>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</si>
  <si>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</si>
  <si>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</si>
  <si>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</si>
  <si>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</si>
  <si>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</si>
  <si>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</si>
  <si>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</si>
  <si>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</si>
  <si>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</si>
  <si>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</si>
  <si>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</si>
  <si>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</si>
  <si>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</si>
  <si>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</si>
  <si>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</si>
  <si>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</si>
  <si>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</si>
  <si>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</si>
  <si>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</si>
  <si>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</si>
  <si>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</si>
  <si>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</si>
  <si>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</si>
  <si>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</si>
  <si>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</si>
  <si>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</si>
  <si>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</si>
  <si>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</si>
  <si>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</si>
  <si>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</si>
  <si>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</si>
  <si>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</si>
  <si>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</si>
  <si>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</si>
  <si>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</si>
  <si>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</si>
  <si>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</si>
  <si>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</si>
  <si>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</si>
  <si>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</si>
  <si>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</si>
  <si>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</si>
  <si>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</si>
  <si>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</si>
  <si>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</si>
  <si>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</si>
  <si>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</si>
  <si>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</si>
  <si>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</si>
  <si>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</si>
  <si>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</si>
  <si>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</si>
  <si>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</si>
  <si>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</si>
  <si>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</si>
  <si>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</si>
  <si>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</si>
  <si>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</si>
  <si>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</si>
  <si>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</si>
  <si>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</si>
  <si>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</si>
  <si>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</si>
  <si>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</si>
  <si>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</si>
  <si>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เมษายน /April</t>
  </si>
  <si>
    <t>พฤษภาคม /May</t>
  </si>
  <si>
    <t>มิถุนายน /June</t>
  </si>
  <si>
    <t>กรกฎาคม /July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</si>
  <si>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</si>
  <si>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</si>
  <si>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</si>
  <si>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</si>
  <si>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</si>
  <si>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</si>
  <si>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</si>
  <si>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</si>
  <si>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</si>
  <si>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</si>
  <si>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</si>
  <si>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</si>
  <si>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</si>
  <si>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</si>
  <si>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</si>
  <si>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</si>
  <si>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</si>
  <si>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Office</t>
  </si>
  <si>
    <t>Sales Department</t>
  </si>
  <si>
    <t>ประจำปี  2569</t>
  </si>
  <si>
    <t>01/02/69</t>
  </si>
  <si>
    <t>01/03/69</t>
  </si>
  <si>
    <t>01/04/69</t>
  </si>
  <si>
    <t>01/05/69</t>
  </si>
  <si>
    <t>01/06/69</t>
  </si>
  <si>
    <t>01/07/69</t>
  </si>
  <si>
    <t>01/08/69</t>
  </si>
  <si>
    <t>01/09/69</t>
  </si>
  <si>
    <t>01/10/69</t>
  </si>
  <si>
    <t>01/11/69</t>
  </si>
  <si>
    <t>01/12/69</t>
  </si>
  <si>
    <t>01/01/70</t>
  </si>
  <si>
    <t>01/02/2569</t>
  </si>
  <si>
    <t>01/03/2569</t>
  </si>
  <si>
    <t>01/04/2569</t>
  </si>
  <si>
    <t>01/05/2569</t>
  </si>
  <si>
    <t>01/06/2569</t>
  </si>
  <si>
    <t>01/07/2569</t>
  </si>
  <si>
    <t>01/08/2569</t>
  </si>
  <si>
    <t>01/09/2569</t>
  </si>
  <si>
    <t>01/10/2569</t>
  </si>
  <si>
    <t>01/11/2569</t>
  </si>
  <si>
    <t>01/12/2569</t>
  </si>
  <si>
    <t>01/01/2570</t>
  </si>
  <si>
    <t>นายสหชัย สำเภาเงิน</t>
  </si>
  <si>
    <t>1200901324449</t>
  </si>
  <si>
    <t>Sales application engineer</t>
  </si>
  <si>
    <t>01/12/2568</t>
  </si>
  <si>
    <t>Mr.Sahachai Sampaongen</t>
  </si>
  <si>
    <t>681201</t>
  </si>
  <si>
    <t>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</si>
</sst>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49" fontId="21" fillId="0" borderId="4" xfId="0" applyNumberFormat="1" applyFont="1" applyBorder="1" applyAlignment="1">
      <alignment horizontal="left" vertical="center"/>
    </xf>
    <xf numFmtId="49" fontId="14" fillId="2" borderId="40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7" zoomScale="120" zoomScaleNormal="12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681201</v>
      </c>
      <c r="G7" s="143" t="str">
        <f>+'ใบสรุป-69'!D6</f>
        <v>1200901324449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105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application engineer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Mr.Sahachai Sampaongen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นายสหชัย สำเภาเงิน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681201</v>
      </c>
      <c r="G7" s="143" t="str">
        <f>+'ใบสรุป-69'!D6</f>
        <v>1200901324449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106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application engineer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Mr.Sahachai Sampaongen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นายสหชัย สำเภาเงิน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681201</v>
      </c>
      <c r="G7" s="143" t="str">
        <f>+'ใบสรุป-69'!D6</f>
        <v>1200901324449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107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application engineer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Mr.Sahachai Sampaongen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นายสหชัย สำเภาเงิน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7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681201</v>
      </c>
      <c r="G7" s="143" t="str">
        <f>+'ใบสรุป-69'!D6</f>
        <v>1200901324449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108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application engineer</v>
      </c>
      <c r="G10" s="67"/>
      <c r="H10" s="47"/>
      <c r="I10" s="63" t="s">
        <v>69</v>
      </c>
      <c r="K10" s="44"/>
    </row>
    <row r="11" spans="1:11">
      <c r="A11" s="12" t="s">
        <v>1</v>
      </c>
      <c r="B11" s="9" t="str">
        <f>+'ใบสรุป-69'!C4</f>
        <v>Mr.Sahachai Sampaongen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นายสหชัย สำเภาเงิน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681201</v>
      </c>
      <c r="G7" s="143" t="str">
        <f>+'ใบสรุป-69'!D6</f>
        <v>1200901324449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109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application engineer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Mr.Sahachai Sampaongen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นายสหชัย สำเภาเงิน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681201</v>
      </c>
      <c r="G7" s="143" t="str">
        <f>+'ใบสรุป-69'!D6</f>
        <v>1200901324449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110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application engineer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Mr.Sahachai Sampaongen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นายสหชัย สำเภาเงิน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7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681201</v>
      </c>
      <c r="G7" s="143" t="str">
        <f>+'ใบสรุป-69'!D6</f>
        <v>1200901324449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application engineer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Mr.Sahachai Sampaongen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นายสหชัย สำเภาเงิน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681201</v>
      </c>
      <c r="G7" s="143" t="str">
        <f>+'ใบสรุป-69'!D6</f>
        <v>1200901324449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112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application engineer</v>
      </c>
      <c r="G10" s="67"/>
      <c r="H10" s="47"/>
      <c r="I10" s="63" t="s">
        <v>84</v>
      </c>
      <c r="K10" s="44"/>
    </row>
    <row r="11" spans="1:11">
      <c r="A11" s="12" t="s">
        <v>1</v>
      </c>
      <c r="B11" s="9" t="str">
        <f>+'ใบสรุป-69'!C4</f>
        <v>Mr.Sahachai Sampaongen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นายสหชัย สำเภาเงิน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681201</v>
      </c>
      <c r="G7" s="143" t="str">
        <f>+'ใบสรุป-69'!D6</f>
        <v>1200901324449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113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application engineer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Mr.Sahachai Sampaongen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นายสหชัย สำเภาเงิน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681201</v>
      </c>
      <c r="G7" s="143" t="str">
        <f>+'ใบสรุป-69'!D6</f>
        <v>1200901324449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114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application engineer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Mr.Sahachai Sampaongen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นายสหชัย สำเภาเงิน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10" zoomScale="110" zoomScaleNormal="110" workbookViewId="0">
      <selection activeCell="G9" sqref="G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681201</v>
      </c>
      <c r="G7" s="143" t="str">
        <f>+'ใบสรุป-69'!D6</f>
        <v>1200901324449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115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application engineer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Mr.Sahachai Sampaongen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นายสหชัย สำเภาเงิน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zoomScale="110" zoomScaleNormal="110" workbookViewId="0">
      <selection activeCell="E20" sqref="E20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681201</v>
      </c>
      <c r="G7" s="143" t="str">
        <f>+'ใบสรุป-69'!D6</f>
        <v>1200901324449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116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application engineer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Mr.Sahachai Sampaongen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นายสหชัย สำเภาเงิน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tabSelected="1" workbookViewId="0">
      <selection activeCell="F10" sqref="F10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/>
    <row r="14" spans="1:14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13" workbookViewId="0">
      <selection activeCell="O23" sqref="O23"/>
    </sheetView>
  </sheetViews>
  <sheetFormatPr defaultColWidth="9" defaultRowHeight="18"/>
  <cols>
    <col min="1" max="1" width="7.42578125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8.85546875" style="74" customWidth="1"/>
    <col min="11" max="11" width="7.140625" style="74" customWidth="1"/>
    <col min="12" max="12" width="9.42578125" style="74" customWidth="1"/>
    <col min="13" max="13" width="10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5" t="s">
        <v>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>
      <c r="A2" s="155" t="s">
        <v>81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.75" thickBot="1">
      <c r="A3" s="155" t="s">
        <v>92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1">
      <c r="A4" s="75" t="s">
        <v>1</v>
      </c>
      <c r="B4" s="76"/>
      <c r="C4" s="139" t="s">
        <v>121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4" t="s">
        <v>2</v>
      </c>
      <c r="B5" s="135"/>
      <c r="C5" s="141" t="s">
        <v>117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80</v>
      </c>
      <c r="B6" s="136"/>
      <c r="C6" s="150" t="s">
        <v>122</v>
      </c>
      <c r="D6" s="150" t="s">
        <v>118</v>
      </c>
      <c r="E6" s="132"/>
      <c r="F6" s="79"/>
      <c r="G6" s="79"/>
      <c r="H6" s="79"/>
      <c r="I6" s="80"/>
      <c r="J6" s="80"/>
      <c r="L6" s="81"/>
    </row>
    <row r="7" spans="1:15" ht="21.75" thickBot="1">
      <c r="A7" s="137" t="s">
        <v>24</v>
      </c>
      <c r="B7" s="138"/>
      <c r="C7" s="131" t="s">
        <v>91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90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7" t="s">
        <v>32</v>
      </c>
      <c r="B9" s="138"/>
      <c r="C9" s="128" t="s">
        <v>119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89</v>
      </c>
      <c r="B10" s="87"/>
      <c r="C10" s="149" t="s">
        <v>120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73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82</v>
      </c>
      <c r="N12" s="157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123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+-SUM(0)*3%</f>
        <v>0</v>
      </c>
      <c r="L15" s="111">
        <f>H15-J15</f>
        <v>-875</v>
      </c>
      <c r="M15" s="107">
        <f>L15</f>
        <v>-875</v>
      </c>
      <c r="N15" s="41" t="s">
        <v>93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1">(17500)*I16</f>
        <v>875</v>
      </c>
      <c r="K16" s="111">
        <f t="shared" ref="K16:K26" si="2">+-SUM(0)*3%</f>
        <v>0</v>
      </c>
      <c r="L16" s="111">
        <f t="shared" ref="L16:L25" si="3">H16-J16</f>
        <v>-875</v>
      </c>
      <c r="M16" s="107">
        <f t="shared" ref="M16:M26" si="4">L16</f>
        <v>-875</v>
      </c>
      <c r="N16" s="41" t="s">
        <v>94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1"/>
        <v>875</v>
      </c>
      <c r="K17" s="111">
        <f t="shared" si="2"/>
        <v>0</v>
      </c>
      <c r="L17" s="111">
        <f t="shared" si="3"/>
        <v>-875</v>
      </c>
      <c r="M17" s="107">
        <f>L17</f>
        <v>-875</v>
      </c>
      <c r="N17" s="41" t="s">
        <v>95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 t="shared" si="0"/>
        <v>0</v>
      </c>
      <c r="I18" s="41" t="s">
        <v>62</v>
      </c>
      <c r="J18" s="111">
        <f t="shared" si="1"/>
        <v>875</v>
      </c>
      <c r="K18" s="111">
        <f t="shared" si="2"/>
        <v>0</v>
      </c>
      <c r="L18" s="111">
        <f t="shared" si="3"/>
        <v>-875</v>
      </c>
      <c r="M18" s="107">
        <f t="shared" si="4"/>
        <v>-875</v>
      </c>
      <c r="N18" s="41" t="s">
        <v>96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1"/>
        <v>875</v>
      </c>
      <c r="K19" s="111">
        <f t="shared" si="2"/>
        <v>0</v>
      </c>
      <c r="L19" s="111">
        <f t="shared" si="3"/>
        <v>-875</v>
      </c>
      <c r="M19" s="107">
        <f t="shared" si="4"/>
        <v>-875</v>
      </c>
      <c r="N19" s="41" t="s">
        <v>97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1"/>
        <v>875</v>
      </c>
      <c r="K20" s="111">
        <f t="shared" si="2"/>
        <v>0</v>
      </c>
      <c r="L20" s="111">
        <f t="shared" si="3"/>
        <v>-875</v>
      </c>
      <c r="M20" s="107">
        <f t="shared" si="4"/>
        <v>-875</v>
      </c>
      <c r="N20" s="41" t="s">
        <v>98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1"/>
        <v>875</v>
      </c>
      <c r="K21" s="111">
        <f t="shared" si="2"/>
        <v>0</v>
      </c>
      <c r="L21" s="111">
        <f t="shared" si="3"/>
        <v>-875</v>
      </c>
      <c r="M21" s="107">
        <f t="shared" si="4"/>
        <v>-875</v>
      </c>
      <c r="N21" s="41" t="s">
        <v>99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1"/>
        <v>875</v>
      </c>
      <c r="K22" s="111">
        <f t="shared" si="2"/>
        <v>0</v>
      </c>
      <c r="L22" s="111">
        <f t="shared" si="3"/>
        <v>-875</v>
      </c>
      <c r="M22" s="107">
        <f t="shared" si="4"/>
        <v>-875</v>
      </c>
      <c r="N22" s="41" t="s">
        <v>100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1"/>
        <v>875</v>
      </c>
      <c r="K23" s="111">
        <f t="shared" si="2"/>
        <v>0</v>
      </c>
      <c r="L23" s="111">
        <f t="shared" si="3"/>
        <v>-875</v>
      </c>
      <c r="M23" s="107">
        <f t="shared" si="4"/>
        <v>-875</v>
      </c>
      <c r="N23" s="41" t="s">
        <v>101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1"/>
        <v>875</v>
      </c>
      <c r="K24" s="111">
        <f t="shared" si="2"/>
        <v>0</v>
      </c>
      <c r="L24" s="111">
        <f t="shared" si="3"/>
        <v>-875</v>
      </c>
      <c r="M24" s="107">
        <f t="shared" si="4"/>
        <v>-875</v>
      </c>
      <c r="N24" s="41" t="s">
        <v>102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1"/>
        <v>875</v>
      </c>
      <c r="K25" s="111">
        <f t="shared" si="2"/>
        <v>0</v>
      </c>
      <c r="L25" s="111">
        <f t="shared" si="3"/>
        <v>-875</v>
      </c>
      <c r="M25" s="107">
        <f t="shared" si="4"/>
        <v>-875</v>
      </c>
      <c r="N25" s="41" t="s">
        <v>103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1"/>
        <v>875</v>
      </c>
      <c r="K26" s="111">
        <f t="shared" si="2"/>
        <v>0</v>
      </c>
      <c r="L26" s="111">
        <f>H26-J26</f>
        <v>-875</v>
      </c>
      <c r="M26" s="107">
        <f t="shared" si="4"/>
        <v>-875</v>
      </c>
      <c r="N26" s="41" t="s">
        <v>104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2026-02-16T08:45:34Z</dcterms:modified>
</cp:coreProperties>
</file>