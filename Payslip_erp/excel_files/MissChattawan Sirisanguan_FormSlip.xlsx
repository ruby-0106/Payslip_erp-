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FB200457-3049-4684-9006-C3AFD40ED206}" xr6:coauthVersionLast="47" xr6:coauthVersionMax="47" xr10:uidLastSave="{00000000-0000-0000-0000-000000000000}"/>
  <bookViews>
    <workbookView xWindow="-120" yWindow="-120" windowWidth="15600" windowHeight="11160" tabRatio="601" firstSheet="8" activeTab="13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L19" i="44" s="1"/>
  <c r="J20" i="44"/>
  <c r="J21" i="44"/>
  <c r="J22" i="44"/>
  <c r="J23" i="44"/>
  <c r="L23" i="44" s="1"/>
  <c r="J24" i="44"/>
  <c r="J25" i="44"/>
  <c r="J26" i="44"/>
  <c r="J15" i="44"/>
  <c r="L15" i="44" s="1"/>
  <c r="L24" i="44"/>
  <c r="L16" i="44"/>
  <c r="L17" i="44"/>
  <c r="L18" i="44"/>
  <c r="L20" i="44"/>
  <c r="L21" i="44"/>
  <c r="L22" i="44"/>
  <c r="L25" i="44"/>
  <c r="K16" i="44"/>
  <c r="K17" i="44"/>
  <c r="K18" i="44"/>
  <c r="K19" i="44"/>
  <c r="K20" i="44"/>
  <c r="K21" i="44"/>
  <c r="K22" i="44"/>
  <c r="K23" i="44"/>
  <c r="K24" i="44"/>
  <c r="K25" i="44"/>
  <c r="K15" i="44"/>
  <c r="B20" i="51"/>
  <c r="B20" i="52"/>
  <c r="B20" i="53"/>
  <c r="B20" i="54"/>
  <c r="B20" i="55"/>
  <c r="B20" i="56"/>
  <c r="B20" i="57"/>
  <c r="B20" i="58"/>
  <c r="B20" i="59"/>
  <c r="B20" i="50"/>
  <c r="I20" i="58"/>
  <c r="B20" i="28"/>
  <c r="D24" i="28" s="1"/>
  <c r="D24" i="50" s="1"/>
  <c r="D24" i="51" s="1"/>
  <c r="D24" i="52" s="1"/>
  <c r="D24" i="53" s="1"/>
  <c r="D24" i="54" s="1"/>
  <c r="D24" i="55" s="1"/>
  <c r="M17" i="44"/>
  <c r="I16" i="60"/>
  <c r="B20" i="60" s="1"/>
  <c r="I20" i="60" s="1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F8" i="28"/>
  <c r="F7" i="28"/>
  <c r="I20" i="59"/>
  <c r="I16" i="59"/>
  <c r="I16" i="58"/>
  <c r="I20" i="57"/>
  <c r="I16" i="57"/>
  <c r="I24" i="57" s="1"/>
  <c r="I16" i="56"/>
  <c r="I20" i="56" s="1"/>
  <c r="I20" i="55"/>
  <c r="I16" i="55"/>
  <c r="I20" i="54"/>
  <c r="I16" i="54"/>
  <c r="I20" i="53"/>
  <c r="I16" i="53"/>
  <c r="I20" i="52"/>
  <c r="I16" i="52"/>
  <c r="I20" i="51"/>
  <c r="I16" i="51"/>
  <c r="I20" i="50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K26" i="44" s="1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I16" i="28"/>
  <c r="B24" i="28" s="1"/>
  <c r="I24" i="59" l="1"/>
  <c r="I24" i="51"/>
  <c r="I24" i="53"/>
  <c r="I24" i="55"/>
  <c r="I24" i="50"/>
  <c r="I24" i="58"/>
  <c r="I24" i="60"/>
  <c r="I24" i="52"/>
  <c r="I24" i="54"/>
  <c r="I24" i="56"/>
  <c r="D24" i="56"/>
  <c r="D24" i="57" s="1"/>
  <c r="D24" i="58" s="1"/>
  <c r="D24" i="59" s="1"/>
  <c r="D24" i="60" s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L26" i="44" s="1"/>
  <c r="E28" i="44"/>
  <c r="F28" i="44"/>
  <c r="B28" i="44"/>
  <c r="H15" i="44"/>
  <c r="M15" i="44" s="1"/>
  <c r="I20" i="28"/>
  <c r="I24" i="28" s="1"/>
  <c r="K28" i="44"/>
  <c r="M26" i="44" l="1"/>
  <c r="M25" i="44"/>
  <c r="M24" i="44"/>
  <c r="M23" i="44"/>
  <c r="M22" i="44"/>
  <c r="M21" i="44"/>
  <c r="M20" i="44"/>
  <c r="M19" i="44"/>
  <c r="M18" i="44"/>
  <c r="M16" i="44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<sst xmlns="http://schemas.openxmlformats.org/spreadsheetml/2006/main" count="722" uniqueCount="124">
  <si>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</si>
  <si>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</si>
  <si>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</si>
  <si>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</si>
  <si>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</si>
  <si>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</si>
  <si>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</si>
  <si>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</si>
  <si>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</si>
  <si>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</si>
  <si>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</si>
  <si>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</si>
  <si>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</si>
  <si>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</si>
  <si>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</si>
  <si>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</si>
  <si>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</si>
  <si>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</si>
  <si>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</si>
  <si>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</si>
  <si>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</si>
  <si>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</si>
  <si>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</si>
  <si>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</si>
  <si>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</si>
  <si>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</si>
  <si>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</si>
  <si>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</si>
  <si>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</si>
  <si>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</si>
  <si>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</si>
  <si>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</si>
  <si>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</si>
  <si>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</si>
  <si>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</si>
  <si>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</si>
  <si>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</si>
  <si>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</si>
  <si>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</si>
  <si>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</si>
  <si>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</si>
  <si>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</si>
  <si>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</si>
  <si>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</si>
  <si>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</si>
  <si>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</si>
  <si>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</si>
  <si>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</si>
  <si>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</si>
  <si>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</si>
  <si>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</si>
  <si>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</si>
  <si>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</si>
  <si>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</si>
  <si>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</si>
  <si>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</si>
  <si>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</si>
  <si>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</si>
  <si>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</si>
  <si>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</si>
  <si>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</si>
  <si>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</si>
  <si>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</si>
  <si>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</si>
  <si>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</si>
  <si>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</si>
  <si>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</si>
  <si>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</si>
  <si>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</si>
  <si>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</si>
  <si>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</si>
  <si>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</si>
  <si>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</si>
  <si>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</si>
  <si>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</si>
  <si>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</si>
  <si>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</si>
  <si>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</si>
  <si>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</si>
  <si>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</si>
  <si>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</si>
  <si>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</si>
  <si>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</si>
  <si>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</si>
  <si>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</si>
  <si>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</si>
  <si>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</si>
  <si>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</si>
  <si>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</si>
  <si>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</si>
  <si>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</si>
  <si>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Office</t>
  </si>
  <si>
    <t>Miss Chattawan Sirisanguan</t>
  </si>
  <si>
    <t>นางสาวฉัตรตะวัน ศิริสงวน</t>
  </si>
  <si>
    <t>680801</t>
  </si>
  <si>
    <t>1329901167626</t>
  </si>
  <si>
    <t>Marketing Department</t>
  </si>
  <si>
    <t>Marketing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</si>
  <si>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</si>
  <si>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</si>
  <si>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</si>
  <si>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</si>
  <si>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</si>
  <si>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</si>
  <si>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</si>
  <si>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</si>
  <si>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</si>
  <si>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</si>
  <si>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</si>
  <si>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01/01/670</t>
  </si>
  <si>
    <t>2569</t>
  </si>
  <si>
    <t>ประจำปี  2569</t>
  </si>
  <si>
    <t>01/01/2570</t>
  </si>
  <si>
    <t>01/12/2569</t>
  </si>
  <si>
    <t>01/11/2569</t>
  </si>
  <si>
    <t>01/10/2569</t>
  </si>
  <si>
    <t>01/09/2569</t>
  </si>
  <si>
    <t>01/08/2569</t>
  </si>
  <si>
    <t>01/07/2569</t>
  </si>
  <si>
    <t>01/06/2569</t>
  </si>
  <si>
    <t>01/05/2569</t>
  </si>
  <si>
    <t>01/04/2569</t>
  </si>
  <si>
    <t>01/03/2569</t>
  </si>
  <si>
    <t>01/02/2569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</si>
</sst>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zoomScale="120" zoomScaleNormal="120" workbookViewId="0">
      <selection activeCell="I10" sqref="I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123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A5" sqref="A5:I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3" zoomScale="110" zoomScaleNormal="110" workbookViewId="0">
      <selection activeCell="D25" sqref="D2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zoomScale="110" zoomScaleNormal="110" workbookViewId="0">
      <selection activeCell="G11" sqref="G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4" zoomScale="110" zoomScaleNormal="110" workbookViewId="0">
      <selection activeCell="J12" sqref="J1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4" zoomScale="110" zoomScaleNormal="110" workbookViewId="0">
      <selection activeCell="F26" sqref="F26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F10" sqref="F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3" zoomScale="110" zoomScaleNormal="110" workbookViewId="0">
      <selection activeCell="D16" sqref="D16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680801</v>
      </c>
      <c r="G7" s="143" t="str">
        <f>+'ใบสรุป-69'!D6</f>
        <v>1329901167626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Marketing Department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Marketing</v>
      </c>
      <c r="G10" s="67"/>
      <c r="H10" s="47"/>
      <c r="I10" s="63" t="s">
        <v>89</v>
      </c>
      <c r="K10" s="44"/>
    </row>
    <row r="11" spans="1:11">
      <c r="A11" s="12" t="s">
        <v>1</v>
      </c>
      <c r="B11" s="9" t="str">
        <f>+'ใบสรุป-69'!C4</f>
        <v>Miss Chattawan Sirisanguan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นางสาวฉัตรตะวัน ศิริสงวน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abSelected="1" topLeftCell="A22" workbookViewId="0">
      <selection activeCell="A28" sqref="A28"/>
    </sheetView>
  </sheetViews>
  <sheetFormatPr defaultColWidth="9" defaultRowHeight="18"/>
  <cols>
    <col min="1" max="1" width="8.1406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9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111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92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93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81</v>
      </c>
      <c r="B6" s="136"/>
      <c r="C6" s="150" t="s">
        <v>94</v>
      </c>
      <c r="D6" s="150" t="s">
        <v>95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96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91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90</v>
      </c>
      <c r="B10" s="87"/>
      <c r="C10" s="149" t="s">
        <v>73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74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83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110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B15*3%</f>
        <v>0</v>
      </c>
      <c r="L15" s="111">
        <f t="shared" ref="L15:L25" si="1">H15-J15-K15</f>
        <v>-875</v>
      </c>
      <c r="M15" s="107">
        <f>L15</f>
        <v>-875</v>
      </c>
      <c r="N15" s="41" t="s">
        <v>98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2">(17500)*I16</f>
        <v>875</v>
      </c>
      <c r="K16" s="111">
        <f t="shared" ref="K16:K25" si="3">B16*3%</f>
        <v>0</v>
      </c>
      <c r="L16" s="111">
        <f t="shared" si="1"/>
        <v>-875</v>
      </c>
      <c r="M16" s="107">
        <f t="shared" ref="M16:M26" si="4">L16</f>
        <v>-875</v>
      </c>
      <c r="N16" s="41" t="s">
        <v>99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2"/>
        <v>875</v>
      </c>
      <c r="K17" s="111">
        <f t="shared" si="3"/>
        <v>0</v>
      </c>
      <c r="L17" s="111">
        <f t="shared" si="1"/>
        <v>-875</v>
      </c>
      <c r="M17" s="107">
        <f>L17</f>
        <v>-875</v>
      </c>
      <c r="N17" s="41" t="s">
        <v>100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2"/>
        <v>875</v>
      </c>
      <c r="K18" s="111">
        <f t="shared" si="3"/>
        <v>0</v>
      </c>
      <c r="L18" s="111">
        <f t="shared" si="1"/>
        <v>-875</v>
      </c>
      <c r="M18" s="107">
        <f t="shared" si="4"/>
        <v>-875</v>
      </c>
      <c r="N18" s="41" t="s">
        <v>101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2"/>
        <v>875</v>
      </c>
      <c r="K19" s="111">
        <f t="shared" si="3"/>
        <v>0</v>
      </c>
      <c r="L19" s="111">
        <f t="shared" si="1"/>
        <v>-875</v>
      </c>
      <c r="M19" s="107">
        <f t="shared" si="4"/>
        <v>-875</v>
      </c>
      <c r="N19" s="41" t="s">
        <v>102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2"/>
        <v>875</v>
      </c>
      <c r="K20" s="111">
        <f t="shared" si="3"/>
        <v>0</v>
      </c>
      <c r="L20" s="111">
        <f t="shared" si="1"/>
        <v>-875</v>
      </c>
      <c r="M20" s="107">
        <f t="shared" si="4"/>
        <v>-875</v>
      </c>
      <c r="N20" s="41" t="s">
        <v>103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2"/>
        <v>875</v>
      </c>
      <c r="K21" s="111">
        <f t="shared" si="3"/>
        <v>0</v>
      </c>
      <c r="L21" s="111">
        <f t="shared" si="1"/>
        <v>-875</v>
      </c>
      <c r="M21" s="107">
        <f t="shared" si="4"/>
        <v>-875</v>
      </c>
      <c r="N21" s="41" t="s">
        <v>104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2"/>
        <v>875</v>
      </c>
      <c r="K22" s="111">
        <f t="shared" si="3"/>
        <v>0</v>
      </c>
      <c r="L22" s="111">
        <f t="shared" si="1"/>
        <v>-875</v>
      </c>
      <c r="M22" s="107">
        <f t="shared" si="4"/>
        <v>-875</v>
      </c>
      <c r="N22" s="41" t="s">
        <v>105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2"/>
        <v>875</v>
      </c>
      <c r="K23" s="111">
        <f t="shared" si="3"/>
        <v>0</v>
      </c>
      <c r="L23" s="111">
        <f t="shared" si="1"/>
        <v>-875</v>
      </c>
      <c r="M23" s="107">
        <f t="shared" si="4"/>
        <v>-875</v>
      </c>
      <c r="N23" s="41" t="s">
        <v>106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2"/>
        <v>875</v>
      </c>
      <c r="K24" s="111">
        <f t="shared" si="3"/>
        <v>0</v>
      </c>
      <c r="L24" s="111">
        <f>H24-J24-K24</f>
        <v>-875</v>
      </c>
      <c r="M24" s="107">
        <f t="shared" si="4"/>
        <v>-875</v>
      </c>
      <c r="N24" s="41" t="s">
        <v>107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2"/>
        <v>875</v>
      </c>
      <c r="K25" s="111">
        <f t="shared" si="3"/>
        <v>0</v>
      </c>
      <c r="L25" s="111">
        <f t="shared" si="1"/>
        <v>-875</v>
      </c>
      <c r="M25" s="107">
        <f t="shared" si="4"/>
        <v>-875</v>
      </c>
      <c r="N25" s="41" t="s">
        <v>108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2"/>
        <v>875</v>
      </c>
      <c r="K26" s="111">
        <f>B26*3%</f>
        <v>0</v>
      </c>
      <c r="L26" s="111">
        <f>H26-J26-K26</f>
        <v>-875</v>
      </c>
      <c r="M26" s="107">
        <f t="shared" si="4"/>
        <v>-875</v>
      </c>
      <c r="N26" s="41" t="s">
        <v>109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2026-02-16T08:32:38Z</dcterms:modified>
</cp:coreProperties>
</file>