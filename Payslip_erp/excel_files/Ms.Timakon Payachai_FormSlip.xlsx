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C11615B7-AE48-4C08-9F7C-EF2C806B3A70}" xr6:coauthVersionLast="37" xr6:coauthVersionMax="47" xr10:uidLastSave="{00000000-0000-0000-0000-000000000000}"/>
  <bookViews>
    <workbookView xWindow="0" yWindow="0" windowWidth="23040" windowHeight="9084" tabRatio="601" firstSheet="1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/>
  <c r="B16" i="58"/>
  <c r="B16" i="57"/>
  <c r="B16" i="56"/>
  <c r="H18" i="44" l="1"/>
  <c r="L18" i="44" s="1"/>
  <c r="J18" i="44"/>
  <c r="K18" i="44"/>
  <c r="M17" i="44"/>
  <c r="B20" i="51"/>
  <c r="B20" i="52"/>
  <c r="I20" i="52" s="1"/>
  <c r="B20" i="53"/>
  <c r="B20" i="54"/>
  <c r="B20" i="55"/>
  <c r="I20" i="60"/>
  <c r="B20" i="50"/>
  <c r="I20" i="50" s="1"/>
  <c r="I20" i="54"/>
  <c r="B20" i="28"/>
  <c r="D24" i="28" s="1"/>
  <c r="L16" i="44"/>
  <c r="L17" i="44"/>
  <c r="L19" i="44"/>
  <c r="L20" i="44"/>
  <c r="L21" i="44"/>
  <c r="K16" i="44"/>
  <c r="K17" i="44"/>
  <c r="K19" i="44"/>
  <c r="K20" i="44"/>
  <c r="K21" i="44"/>
  <c r="K23" i="44"/>
  <c r="K24" i="44"/>
  <c r="L15" i="44"/>
  <c r="K15" i="44"/>
  <c r="J15" i="44"/>
  <c r="J16" i="44"/>
  <c r="J17" i="44"/>
  <c r="J19" i="44"/>
  <c r="J20" i="44"/>
  <c r="J21" i="44"/>
  <c r="J22" i="44"/>
  <c r="J23" i="44"/>
  <c r="J24" i="44"/>
  <c r="J25" i="44"/>
  <c r="J26" i="44"/>
  <c r="I16" i="60"/>
  <c r="C24" i="50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C24" i="28"/>
  <c r="I16" i="50"/>
  <c r="F8" i="28"/>
  <c r="F7" i="28"/>
  <c r="I16" i="59"/>
  <c r="I20" i="59" s="1"/>
  <c r="I16" i="58"/>
  <c r="I20" i="58" s="1"/>
  <c r="I20" i="57"/>
  <c r="I16" i="57"/>
  <c r="I16" i="56"/>
  <c r="I20" i="55"/>
  <c r="I16" i="55"/>
  <c r="I16" i="54"/>
  <c r="I20" i="53"/>
  <c r="I16" i="53"/>
  <c r="I16" i="52"/>
  <c r="I20" i="51"/>
  <c r="I16" i="51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K26" i="44" s="1"/>
  <c r="B25" i="44"/>
  <c r="K25" i="44" s="1"/>
  <c r="B24" i="44"/>
  <c r="B23" i="44"/>
  <c r="B22" i="44"/>
  <c r="K22" i="44" s="1"/>
  <c r="B21" i="44"/>
  <c r="B20" i="44"/>
  <c r="B19" i="44"/>
  <c r="B18" i="44"/>
  <c r="B17" i="44"/>
  <c r="B16" i="44"/>
  <c r="F15" i="44"/>
  <c r="G15" i="44"/>
  <c r="E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I16" i="28"/>
  <c r="B24" i="28" s="1"/>
  <c r="I20" i="56" l="1"/>
  <c r="I24" i="56" s="1"/>
  <c r="I24" i="52"/>
  <c r="D24" i="50"/>
  <c r="D24" i="51" s="1"/>
  <c r="D24" i="52" s="1"/>
  <c r="D24" i="53" s="1"/>
  <c r="D24" i="54" s="1"/>
  <c r="D24" i="55" s="1"/>
  <c r="D24" i="56" s="1"/>
  <c r="D24" i="57" s="1"/>
  <c r="D24" i="58" s="1"/>
  <c r="D24" i="59" s="1"/>
  <c r="D24" i="60" s="1"/>
  <c r="I24" i="54"/>
  <c r="I24" i="58"/>
  <c r="I24" i="60"/>
  <c r="I24" i="51"/>
  <c r="I24" i="53"/>
  <c r="I24" i="55"/>
  <c r="I24" i="57"/>
  <c r="I24" i="59"/>
  <c r="I24" i="50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L23" i="44" s="1"/>
  <c r="H19" i="44"/>
  <c r="C28" i="44"/>
  <c r="H25" i="44"/>
  <c r="L25" i="44" s="1"/>
  <c r="H24" i="44"/>
  <c r="L24" i="44" s="1"/>
  <c r="G28" i="44"/>
  <c r="H22" i="44"/>
  <c r="L22" i="44" s="1"/>
  <c r="H21" i="44"/>
  <c r="H20" i="44"/>
  <c r="D28" i="44"/>
  <c r="H17" i="44"/>
  <c r="H16" i="44"/>
  <c r="H26" i="44"/>
  <c r="L26" i="44" s="1"/>
  <c r="E28" i="44"/>
  <c r="F28" i="44"/>
  <c r="B28" i="44"/>
  <c r="H15" i="44"/>
  <c r="M15" i="44" s="1"/>
  <c r="I20" i="28"/>
  <c r="I24" i="28" s="1"/>
  <c r="K28" i="44"/>
  <c r="M26" i="44" l="1"/>
  <c r="M25" i="44"/>
  <c r="M24" i="44"/>
  <c r="M23" i="44"/>
  <c r="M22" i="44"/>
  <c r="M21" i="44"/>
  <c r="M20" i="44"/>
  <c r="M19" i="44"/>
  <c r="M18" i="44"/>
  <c r="M16" i="44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<sst xmlns="http://schemas.openxmlformats.org/spreadsheetml/2006/main" count="722" uniqueCount="124">
  <si>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</si>
  <si>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</si>
  <si>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</si>
  <si>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</si>
  <si>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</si>
  <si>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</si>
  <si>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</si>
  <si>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</si>
  <si>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</si>
  <si>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</si>
  <si>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</si>
  <si>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</si>
  <si>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</si>
  <si>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</si>
  <si>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</si>
  <si>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</si>
  <si>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</si>
  <si>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</si>
  <si>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</si>
  <si>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</si>
  <si>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</si>
  <si>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</si>
  <si>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</si>
  <si>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</si>
  <si>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</si>
  <si>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</si>
  <si>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</si>
  <si>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</si>
  <si>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</si>
  <si>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</si>
  <si>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</si>
  <si>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</si>
  <si>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</si>
  <si>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</si>
  <si>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</si>
  <si>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</si>
  <si>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</si>
  <si>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</si>
  <si>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</si>
  <si>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</si>
  <si>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</si>
  <si>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</si>
  <si>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</si>
  <si>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</si>
  <si>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</si>
  <si>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</si>
  <si>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</si>
  <si>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</si>
  <si>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</si>
  <si>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</si>
  <si>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</si>
  <si>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</si>
  <si>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</si>
  <si>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</si>
  <si>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</si>
  <si>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</si>
  <si>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</si>
  <si>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</si>
  <si>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</si>
  <si>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</si>
  <si>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</si>
  <si>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</si>
  <si>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</si>
  <si>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</si>
  <si>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</si>
  <si>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</si>
  <si>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</si>
  <si>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</si>
  <si>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</si>
  <si>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</si>
  <si>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</si>
  <si>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</si>
  <si>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</si>
  <si>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</si>
  <si>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</si>
  <si>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</si>
  <si>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</si>
  <si>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</si>
  <si>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</si>
  <si>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</si>
  <si>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</si>
  <si>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</si>
  <si>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</si>
  <si>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</si>
  <si>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</si>
  <si>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</si>
  <si>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</si>
  <si>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</si>
  <si>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</si>
  <si>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</si>
  <si>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</si>
  <si>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</si>
  <si>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</si>
  <si>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</si>
  <si>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</si>
  <si>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</si>
  <si>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</si>
  <si>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</si>
  <si>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</si>
  <si>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</si>
  <si>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</si>
  <si>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</si>
  <si>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</si>
  <si>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</si>
  <si>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</si>
  <si>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</si>
  <si>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</si>
  <si>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</si>
  <si>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</si>
  <si>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</si>
  <si>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</si>
  <si>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</si>
  <si>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</si>
  <si>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</si>
  <si>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</si>
  <si>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</si>
  <si>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Office</t>
  </si>
  <si>
    <t>641207</t>
  </si>
  <si>
    <t>3540300156774</t>
  </si>
  <si>
    <t>Administration Department</t>
  </si>
  <si>
    <t>Admin</t>
  </si>
  <si>
    <t>Miss Timakon Payachai</t>
  </si>
  <si>
    <t>นางสาวฐิมากร พยาชัย</t>
  </si>
  <si>
    <t>04/08/2568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</si>
</sst>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f>I16*3%</f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0</v>
      </c>
      <c r="D24" s="36">
        <f>B20</f>
        <v>0</v>
      </c>
      <c r="E24" s="54">
        <f>F16+G16+D20+E20</f>
        <v>0</v>
      </c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f>I16*3%</f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0</v>
      </c>
      <c r="D24" s="36">
        <f>B20+'68-jan'!D24</f>
        <v>0</v>
      </c>
      <c r="E24" s="54"/>
      <c r="F24" s="61"/>
      <c r="I24" s="65">
        <f>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f>I16*3%</f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0</v>
      </c>
      <c r="D24" s="36">
        <f>B20+'68-Feb'!D24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f>I16*3%</f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0</v>
      </c>
      <c r="D24" s="36">
        <f>B20+'68-Mar'!D24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f>I16*3%</f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0</v>
      </c>
      <c r="D24" s="36">
        <f>B20+'68-Apr'!D24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f>I16*3%</f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0</v>
      </c>
      <c r="D24" s="36">
        <f>B20+'68-May'!D24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f>I16*3%</f>
        <v>0</v>
      </c>
      <c r="C20" s="7"/>
      <c r="D20" s="146">
        <v>0</v>
      </c>
      <c r="E20" s="146">
        <v>0</v>
      </c>
      <c r="F20" s="46"/>
      <c r="G20" s="46"/>
      <c r="H20" s="46"/>
      <c r="I20" s="35">
        <f>+B20+C20+D20+E20</f>
        <v>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0</v>
      </c>
      <c r="C24" s="35">
        <f>C20+'68-Jun'!C24</f>
        <v>0</v>
      </c>
      <c r="D24" s="36">
        <f>B20+'68-Jun'!D24</f>
        <v>0</v>
      </c>
      <c r="E24" s="54"/>
      <c r="F24" s="61"/>
      <c r="I24" s="65">
        <f>+I16-I20</f>
        <v>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7" zoomScale="110" zoomScaleNormal="110" workbookViewId="0">
      <selection activeCell="I21" sqref="I21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18750</v>
      </c>
      <c r="C24" s="35">
        <f>C20+'68-Jul'!C24</f>
        <v>750</v>
      </c>
      <c r="D24" s="36">
        <f>B20+'68-Jul'!D24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B20" sqref="B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37500</v>
      </c>
      <c r="C24" s="35">
        <f>C20+'68-Aug'!C24</f>
        <v>1500</v>
      </c>
      <c r="D24" s="36">
        <f>B20+'68-Aug'!D24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3" zoomScale="110" zoomScaleNormal="110" workbookViewId="0">
      <selection activeCell="C21" sqref="C21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56250</v>
      </c>
      <c r="C24" s="35">
        <f>C20+'68-Sep'!C24</f>
        <v>2250</v>
      </c>
      <c r="D24" s="36">
        <f>B20+'68-Sep'!D24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7" zoomScale="110" zoomScaleNormal="110" workbookViewId="0">
      <selection activeCell="C20" sqref="C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75000</v>
      </c>
      <c r="C24" s="35">
        <f>C20+'68-Oct'!C24</f>
        <v>3000</v>
      </c>
      <c r="D24" s="36">
        <f>B20+'68-Oct'!D24</f>
        <v>0</v>
      </c>
      <c r="E24" s="54"/>
      <c r="F24" s="61"/>
      <c r="I24" s="65">
        <f>+I16-I20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zoomScale="110" zoomScaleNormal="110" workbookViewId="0">
      <selection activeCell="C21" sqref="C21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641207</v>
      </c>
      <c r="G7" s="143" t="str">
        <f>+'ใบสรุป-68'!D6</f>
        <v>3540300156774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Administration Department</v>
      </c>
      <c r="G8" s="69"/>
      <c r="H8" s="47"/>
      <c r="I8" s="64" t="s">
        <v>115</v>
      </c>
      <c r="K8" s="50"/>
    </row>
    <row r="9" spans="1:11" x14ac:dyDescent="0.45">
      <c r="D9" s="14" t="s">
        <v>29</v>
      </c>
      <c r="E9" s="15"/>
      <c r="F9" s="14" t="str">
        <f>+'ใบสรุป-68'!C8</f>
        <v>Office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Admin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18000+750</f>
        <v>18750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18750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/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93750</v>
      </c>
      <c r="C24" s="35">
        <f>C20+'68-Nov'!C24</f>
        <v>3750</v>
      </c>
      <c r="D24" s="36">
        <f>B20+'68-Nov'!D24</f>
        <v>0</v>
      </c>
      <c r="E24" s="54"/>
      <c r="F24" s="61"/>
      <c r="I24" s="65">
        <f>I16-I20</f>
        <v>18000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0" workbookViewId="0">
      <selection activeCell="D19" sqref="D19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121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122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50" t="s">
        <v>117</v>
      </c>
      <c r="D6" s="150" t="s">
        <v>118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119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116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120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49" t="s">
        <v>123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B15*3%</f>
        <v>0</v>
      </c>
      <c r="L15" s="111">
        <f>H15-J15-K15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B16*3%</f>
        <v>0</v>
      </c>
      <c r="L16" s="111">
        <f t="shared" ref="L16:L26" si="3">H16-J16-K16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>L17</f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>SUM(B18:G18)</f>
        <v>0</v>
      </c>
      <c r="I18" s="41" t="s">
        <v>62</v>
      </c>
      <c r="J18" s="111">
        <f>(15000)*I18</f>
        <v>750</v>
      </c>
      <c r="K18" s="111">
        <f>B18*3%</f>
        <v>0</v>
      </c>
      <c r="L18" s="111">
        <f>H18-J18-K18</f>
        <v>-750</v>
      </c>
      <c r="M18" s="107">
        <f t="shared" si="4"/>
        <v>-750</v>
      </c>
      <c r="N18" s="41" t="s">
        <v>106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107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108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-750</v>
      </c>
      <c r="M21" s="107">
        <f t="shared" si="4"/>
        <v>-750</v>
      </c>
      <c r="N21" s="41" t="s">
        <v>109</v>
      </c>
      <c r="O21" s="107"/>
    </row>
    <row r="22" spans="1:15" x14ac:dyDescent="0.25">
      <c r="A22" s="112" t="s">
        <v>63</v>
      </c>
      <c r="B22" s="110">
        <f>'68-Aug'!B16</f>
        <v>18750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18750</v>
      </c>
      <c r="I22" s="41" t="s">
        <v>62</v>
      </c>
      <c r="J22" s="111">
        <f t="shared" si="1"/>
        <v>750</v>
      </c>
      <c r="K22" s="111">
        <f t="shared" si="2"/>
        <v>562.5</v>
      </c>
      <c r="L22" s="111">
        <f t="shared" si="3"/>
        <v>17437.5</v>
      </c>
      <c r="M22" s="107">
        <f t="shared" si="4"/>
        <v>17437.5</v>
      </c>
      <c r="N22" s="41" t="s">
        <v>110</v>
      </c>
      <c r="O22" s="107"/>
    </row>
    <row r="23" spans="1:15" x14ac:dyDescent="0.25">
      <c r="A23" s="112" t="s">
        <v>64</v>
      </c>
      <c r="B23" s="110">
        <f>'68-Sep'!B16</f>
        <v>18750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18750</v>
      </c>
      <c r="I23" s="41" t="s">
        <v>62</v>
      </c>
      <c r="J23" s="111">
        <f t="shared" si="1"/>
        <v>750</v>
      </c>
      <c r="K23" s="111">
        <f t="shared" si="2"/>
        <v>562.5</v>
      </c>
      <c r="L23" s="111">
        <f t="shared" si="3"/>
        <v>17437.5</v>
      </c>
      <c r="M23" s="107">
        <f t="shared" si="4"/>
        <v>17437.5</v>
      </c>
      <c r="N23" s="41" t="s">
        <v>111</v>
      </c>
      <c r="O23" s="107"/>
    </row>
    <row r="24" spans="1:15" x14ac:dyDescent="0.25">
      <c r="A24" s="112" t="s">
        <v>65</v>
      </c>
      <c r="B24" s="110">
        <f>'68-Oct'!B16</f>
        <v>18750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18750</v>
      </c>
      <c r="I24" s="41" t="s">
        <v>62</v>
      </c>
      <c r="J24" s="111">
        <f t="shared" si="1"/>
        <v>750</v>
      </c>
      <c r="K24" s="111">
        <f t="shared" si="2"/>
        <v>562.5</v>
      </c>
      <c r="L24" s="111">
        <f t="shared" si="3"/>
        <v>17437.5</v>
      </c>
      <c r="M24" s="107">
        <f t="shared" si="4"/>
        <v>17437.5</v>
      </c>
      <c r="N24" s="41" t="s">
        <v>112</v>
      </c>
      <c r="O24" s="107"/>
    </row>
    <row r="25" spans="1:15" x14ac:dyDescent="0.25">
      <c r="A25" s="112" t="s">
        <v>66</v>
      </c>
      <c r="B25" s="110">
        <f>'68-Nov'!B16</f>
        <v>18750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18750</v>
      </c>
      <c r="I25" s="41" t="s">
        <v>62</v>
      </c>
      <c r="J25" s="111">
        <f t="shared" si="1"/>
        <v>750</v>
      </c>
      <c r="K25" s="111">
        <f t="shared" si="2"/>
        <v>562.5</v>
      </c>
      <c r="L25" s="111">
        <f t="shared" si="3"/>
        <v>17437.5</v>
      </c>
      <c r="M25" s="107">
        <f t="shared" si="4"/>
        <v>17437.5</v>
      </c>
      <c r="N25" s="41" t="s">
        <v>113</v>
      </c>
      <c r="O25" s="107"/>
    </row>
    <row r="26" spans="1:15" x14ac:dyDescent="0.25">
      <c r="A26" s="112" t="s">
        <v>67</v>
      </c>
      <c r="B26" s="110">
        <f>'68-Dec'!B16</f>
        <v>18750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18750</v>
      </c>
      <c r="I26" s="41" t="s">
        <v>62</v>
      </c>
      <c r="J26" s="111">
        <f>(15000)*I26</f>
        <v>750</v>
      </c>
      <c r="K26" s="111">
        <f t="shared" si="2"/>
        <v>562.5</v>
      </c>
      <c r="L26" s="111">
        <f t="shared" si="3"/>
        <v>17437.5</v>
      </c>
      <c r="M26" s="107">
        <f t="shared" si="4"/>
        <v>17437.5</v>
      </c>
      <c r="N26" s="41" t="s">
        <v>114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93750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93750</v>
      </c>
      <c r="I28" s="120"/>
      <c r="J28" s="120">
        <f>SUM(J15:J27)</f>
        <v>9000</v>
      </c>
      <c r="K28" s="120">
        <f>SUM(K15:K27)</f>
        <v>2812.5</v>
      </c>
      <c r="L28" s="119">
        <f>SUM(L15:L27)</f>
        <v>81937.5</v>
      </c>
      <c r="M28" s="121">
        <f>SUM(M15:M27)</f>
        <v>81937.5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2026-01-07T02:04:34Z</dcterms:modified>
</cp:coreProperties>
</file>