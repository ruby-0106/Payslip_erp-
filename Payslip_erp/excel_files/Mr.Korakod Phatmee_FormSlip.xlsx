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944B2626-926D-47BE-8ACD-B4E3BFD99110}" xr6:coauthVersionLast="37" xr6:coauthVersionMax="37" xr10:uidLastSave="{00000000-0000-0000-0000-000000000000}"/>
  <bookViews>
    <workbookView xWindow="0" yWindow="0" windowWidth="17256" windowHeight="5664" tabRatio="601" firstSheet="3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B16" i="58" l="1"/>
  <c r="B16" i="56" l="1"/>
  <c r="B16" i="55" l="1"/>
  <c r="B16" i="54"/>
  <c r="B16" i="53"/>
  <c r="B16" i="52"/>
  <c r="B16" i="51"/>
  <c r="B16" i="50"/>
  <c r="B16" i="28"/>
  <c r="B16" i="57" l="1"/>
  <c r="D24" i="54" l="1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H15" i="44" s="1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L15" i="44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<sst xmlns="http://schemas.openxmlformats.org/spreadsheetml/2006/main" count="722" uniqueCount="123">
  <si>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</si>
  <si>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</si>
  <si>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</si>
  <si>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</si>
  <si>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</si>
  <si>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</si>
  <si>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</si>
  <si>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</si>
  <si>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</si>
  <si>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</si>
  <si>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</si>
  <si>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</si>
  <si>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</si>
  <si>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</si>
  <si>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</si>
  <si>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</si>
  <si>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</si>
  <si>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</si>
  <si>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</si>
  <si>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</si>
  <si>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</si>
  <si>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</si>
  <si>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</si>
  <si>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</si>
  <si>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</si>
  <si>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</si>
  <si>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</si>
  <si>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</si>
  <si>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</si>
  <si>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</si>
  <si>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</si>
  <si>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</si>
  <si>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</si>
  <si>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</si>
  <si>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</si>
  <si>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</si>
  <si>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</si>
  <si>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</si>
  <si>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</si>
  <si>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</si>
  <si>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</si>
  <si>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</si>
  <si>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</si>
  <si>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</si>
  <si>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</si>
  <si>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</si>
  <si>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</si>
  <si>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</si>
  <si>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</si>
  <si>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</si>
  <si>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</si>
  <si>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</si>
  <si>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</si>
  <si>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</si>
  <si>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</si>
  <si>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</si>
  <si>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</si>
  <si>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</si>
  <si>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</si>
  <si>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</si>
  <si>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</si>
  <si>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</si>
  <si>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</si>
  <si>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</si>
  <si>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</si>
  <si>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</si>
  <si>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</si>
  <si>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</si>
  <si>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</si>
  <si>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</si>
  <si>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</si>
  <si>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</si>
  <si>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</si>
  <si>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</si>
  <si>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</si>
  <si>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</si>
  <si>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</si>
  <si>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</si>
  <si>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</si>
  <si>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</si>
  <si>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</si>
  <si>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</si>
  <si>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</si>
  <si>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</si>
  <si>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</si>
  <si>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</si>
  <si>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</si>
  <si>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</si>
  <si>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</si>
  <si>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</si>
  <si>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</si>
  <si>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</si>
  <si>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</si>
  <si>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</si>
  <si>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</si>
  <si>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</si>
  <si>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</si>
  <si>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</si>
  <si>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</si>
  <si>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</si>
  <si>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</si>
  <si>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</si>
  <si>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</si>
  <si>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</si>
  <si>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</si>
  <si>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</si>
  <si>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</si>
  <si>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</si>
  <si>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</si>
  <si>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</si>
  <si>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</si>
  <si>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</si>
  <si>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</si>
  <si>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</si>
  <si>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</si>
  <si>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</si>
  <si>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</si>
  <si>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</si>
  <si>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Mr.Korakod Phatmee</t>
  </si>
  <si>
    <t>นายกรกช พัดมี</t>
  </si>
  <si>
    <t>630323</t>
  </si>
  <si>
    <t>1200501089914</t>
  </si>
  <si>
    <t>23/03/2563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</si>
</sst>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3" zoomScale="120" zoomScaleNormal="12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23529+750</f>
        <v>24279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24279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24279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23529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24784+750</f>
        <v>25534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25534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49813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24784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23866+750</f>
        <v>24616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24616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I16+'68-Feb'!B24</f>
        <v>74429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23866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25824+750</f>
        <v>26574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26574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I16+'68-Mar'!B24</f>
        <v>101003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25824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3" zoomScale="110" zoomScaleNormal="110" workbookViewId="0">
      <selection activeCell="C6" sqref="C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25812+750</f>
        <v>26562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26562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I16+'68-Apr'!B24</f>
        <v>127565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25812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25817+750</f>
        <v>26567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26567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I16+'68-May'!B24</f>
        <v>154132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25817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0" zoomScale="110" zoomScaleNormal="110" workbookViewId="0">
      <selection activeCell="D20" sqref="D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24808+750</f>
        <v>25558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25558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I16+'68-Jun'!B24</f>
        <v>179690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24808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24485+750</f>
        <v>25235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25235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I16+'68-Jul'!B24</f>
        <v>204925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24485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23475+750</f>
        <v>24225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24225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I16+'68-Aug'!B24</f>
        <v>229150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23475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0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23739+750</f>
        <v>24489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24489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I16+'68-Sep'!B24</f>
        <v>253639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23739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2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23511+750</f>
        <v>24261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24261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I16+'68-Oct'!B24</f>
        <v>277900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23511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630323</v>
      </c>
      <c r="G7" s="144" t="str">
        <f>+'ใบสรุป-68'!D6</f>
        <v>1200501089914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Mr.Korakod Phatmee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นายกรกช พัดมี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23511+750</f>
        <v>24261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24261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I16+'68-Nov'!B24</f>
        <v>302161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23511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7" workbookViewId="0">
      <selection activeCell="J28" sqref="J28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0" t="s">
        <v>118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5" t="s">
        <v>2</v>
      </c>
      <c r="B5" s="136"/>
      <c r="C5" s="142" t="s">
        <v>119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7"/>
      <c r="C6" s="150" t="s">
        <v>120</v>
      </c>
      <c r="D6" s="150" t="s">
        <v>121</v>
      </c>
      <c r="E6" s="133"/>
      <c r="F6" s="79"/>
      <c r="G6" s="79"/>
      <c r="H6" s="79"/>
      <c r="I6" s="80"/>
      <c r="J6" s="80"/>
      <c r="L6" s="81"/>
    </row>
    <row r="7" spans="1:15" ht="21" thickBot="1" x14ac:dyDescent="0.3">
      <c r="A7" s="138" t="s">
        <v>24</v>
      </c>
      <c r="B7" s="139"/>
      <c r="C7" s="132" t="s">
        <v>107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8" t="s">
        <v>32</v>
      </c>
      <c r="B9" s="139"/>
      <c r="C9" s="129" t="s">
        <v>107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24279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>SUM(B15:G15)</f>
        <v>24279</v>
      </c>
      <c r="I15" s="41" t="s">
        <v>62</v>
      </c>
      <c r="J15" s="111">
        <f t="shared" ref="J15:J25" si="0">(15000)*I15</f>
        <v>750</v>
      </c>
      <c r="K15" s="111">
        <f>+-SUM(0)*3%</f>
        <v>0</v>
      </c>
      <c r="L15" s="111">
        <f>H15-J15</f>
        <v>23529</v>
      </c>
      <c r="M15" s="107">
        <f>L15</f>
        <v>23529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25534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25534</v>
      </c>
      <c r="I16" s="41" t="s">
        <v>62</v>
      </c>
      <c r="J16" s="111">
        <f t="shared" si="0"/>
        <v>750</v>
      </c>
      <c r="K16" s="111">
        <f t="shared" ref="K16:K26" si="1">+-SUM(0)*3%</f>
        <v>0</v>
      </c>
      <c r="L16" s="111">
        <f t="shared" ref="L16:L25" si="2">H16-J16</f>
        <v>24784</v>
      </c>
      <c r="M16" s="107">
        <f t="shared" ref="M16:M26" si="3">L16</f>
        <v>24784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24616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ref="H17:H26" si="4">SUM(B17:G17)</f>
        <v>24616</v>
      </c>
      <c r="I17" s="41" t="s">
        <v>62</v>
      </c>
      <c r="J17" s="111">
        <f t="shared" si="0"/>
        <v>750</v>
      </c>
      <c r="K17" s="111">
        <f t="shared" si="1"/>
        <v>0</v>
      </c>
      <c r="L17" s="111">
        <f t="shared" si="2"/>
        <v>23866</v>
      </c>
      <c r="M17" s="107">
        <f t="shared" si="3"/>
        <v>23866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26574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4"/>
        <v>26574</v>
      </c>
      <c r="I18" s="41" t="s">
        <v>62</v>
      </c>
      <c r="J18" s="111">
        <f t="shared" si="0"/>
        <v>750</v>
      </c>
      <c r="K18" s="111">
        <f t="shared" si="1"/>
        <v>0</v>
      </c>
      <c r="L18" s="111">
        <f t="shared" si="2"/>
        <v>25824</v>
      </c>
      <c r="M18" s="107">
        <f t="shared" si="3"/>
        <v>25824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26562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4"/>
        <v>26562</v>
      </c>
      <c r="I19" s="41" t="s">
        <v>62</v>
      </c>
      <c r="J19" s="111">
        <f t="shared" si="0"/>
        <v>750</v>
      </c>
      <c r="K19" s="111">
        <f t="shared" si="1"/>
        <v>0</v>
      </c>
      <c r="L19" s="111">
        <f t="shared" si="2"/>
        <v>25812</v>
      </c>
      <c r="M19" s="107">
        <f t="shared" si="3"/>
        <v>25812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26567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4"/>
        <v>26567</v>
      </c>
      <c r="I20" s="41" t="s">
        <v>62</v>
      </c>
      <c r="J20" s="111">
        <f t="shared" si="0"/>
        <v>750</v>
      </c>
      <c r="K20" s="111">
        <f t="shared" si="1"/>
        <v>0</v>
      </c>
      <c r="L20" s="111">
        <f t="shared" si="2"/>
        <v>25817</v>
      </c>
      <c r="M20" s="107">
        <f t="shared" si="3"/>
        <v>25817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25558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4"/>
        <v>25558</v>
      </c>
      <c r="I21" s="41" t="s">
        <v>62</v>
      </c>
      <c r="J21" s="111">
        <f t="shared" si="0"/>
        <v>750</v>
      </c>
      <c r="K21" s="111">
        <f t="shared" si="1"/>
        <v>0</v>
      </c>
      <c r="L21" s="111">
        <f t="shared" si="2"/>
        <v>24808</v>
      </c>
      <c r="M21" s="107">
        <f t="shared" si="3"/>
        <v>24808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25235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4"/>
        <v>25235</v>
      </c>
      <c r="I22" s="41" t="s">
        <v>62</v>
      </c>
      <c r="J22" s="111">
        <f t="shared" si="0"/>
        <v>750</v>
      </c>
      <c r="K22" s="111">
        <f t="shared" si="1"/>
        <v>0</v>
      </c>
      <c r="L22" s="111">
        <f t="shared" si="2"/>
        <v>24485</v>
      </c>
      <c r="M22" s="107">
        <f t="shared" si="3"/>
        <v>24485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24225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4"/>
        <v>24225</v>
      </c>
      <c r="I23" s="41" t="s">
        <v>62</v>
      </c>
      <c r="J23" s="111">
        <f t="shared" si="0"/>
        <v>750</v>
      </c>
      <c r="K23" s="111">
        <f t="shared" si="1"/>
        <v>0</v>
      </c>
      <c r="L23" s="111">
        <f t="shared" si="2"/>
        <v>23475</v>
      </c>
      <c r="M23" s="107">
        <f t="shared" si="3"/>
        <v>23475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24489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4"/>
        <v>24489</v>
      </c>
      <c r="I24" s="41" t="s">
        <v>62</v>
      </c>
      <c r="J24" s="111">
        <f t="shared" si="0"/>
        <v>750</v>
      </c>
      <c r="K24" s="111">
        <f t="shared" si="1"/>
        <v>0</v>
      </c>
      <c r="L24" s="111">
        <f t="shared" si="2"/>
        <v>23739</v>
      </c>
      <c r="M24" s="107">
        <f t="shared" si="3"/>
        <v>23739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24261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4"/>
        <v>24261</v>
      </c>
      <c r="I25" s="41" t="s">
        <v>62</v>
      </c>
      <c r="J25" s="111">
        <f t="shared" si="0"/>
        <v>750</v>
      </c>
      <c r="K25" s="111">
        <f t="shared" si="1"/>
        <v>0</v>
      </c>
      <c r="L25" s="111">
        <f t="shared" si="2"/>
        <v>23511</v>
      </c>
      <c r="M25" s="107">
        <f t="shared" si="3"/>
        <v>23511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24261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4"/>
        <v>24261</v>
      </c>
      <c r="I26" s="41" t="s">
        <v>62</v>
      </c>
      <c r="J26" s="111">
        <f>(15000)*I26</f>
        <v>750</v>
      </c>
      <c r="K26" s="111">
        <f t="shared" si="1"/>
        <v>0</v>
      </c>
      <c r="L26" s="111">
        <f>H26-J26</f>
        <v>23511</v>
      </c>
      <c r="M26" s="107">
        <f t="shared" si="3"/>
        <v>23511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302161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302161</v>
      </c>
      <c r="I28" s="120"/>
      <c r="J28" s="120">
        <f>SUM(J15:J27)</f>
        <v>9000</v>
      </c>
      <c r="K28" s="120">
        <f>SUM(K15:K27)</f>
        <v>0</v>
      </c>
      <c r="L28" s="119">
        <f>SUM(L15:L27)</f>
        <v>293161</v>
      </c>
      <c r="M28" s="121">
        <f>SUM(M15:M27)</f>
        <v>293161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2026-01-07T01:53:54Z</dcterms:modified>
</cp:coreProperties>
</file>