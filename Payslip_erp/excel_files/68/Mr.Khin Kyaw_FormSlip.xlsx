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AB4A3D0A-D436-4A68-9F03-D728FD5FEEDD}" xr6:coauthVersionLast="37" xr6:coauthVersionMax="47" xr10:uidLastSave="{00000000-0000-0000-0000-000000000000}"/>
  <bookViews>
    <workbookView xWindow="0" yWindow="0" windowWidth="23040" windowHeight="9084" tabRatio="601" firstSheet="8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 l="1"/>
  <c r="M15" i="44" l="1"/>
  <c r="M16" i="44"/>
  <c r="M17" i="44"/>
  <c r="M18" i="44"/>
  <c r="M19" i="44"/>
  <c r="M20" i="44"/>
  <c r="M21" i="44"/>
  <c r="M22" i="44"/>
  <c r="M23" i="44"/>
  <c r="M24" i="44"/>
  <c r="L15" i="44"/>
  <c r="L23" i="44"/>
  <c r="D24" i="54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I20" i="28"/>
  <c r="K28" i="44"/>
  <c r="L26" i="44" l="1"/>
  <c r="M26" i="44" s="1"/>
  <c r="L25" i="44"/>
  <c r="M25" i="44" s="1"/>
  <c r="L24" i="44"/>
  <c r="L22" i="44"/>
  <c r="L21" i="44"/>
  <c r="L20" i="44"/>
  <c r="L19" i="44"/>
  <c r="L18" i="44"/>
  <c r="L17" i="44"/>
  <c r="L16" i="44"/>
  <c r="H28" i="44"/>
  <c r="M28" i="44" l="1"/>
  <c r="L28" i="44"/>
</calcChain>
</file>

<file path=xl/sharedStrings.xml><?xml version="1.0" encoding="utf-8"?>
<sst xmlns="http://schemas.openxmlformats.org/spreadsheetml/2006/main" count="720" uniqueCount="120">
  <si>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</si>
  <si>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</si>
  <si>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</si>
  <si>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</si>
  <si>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</si>
  <si>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</si>
  <si>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</si>
  <si>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</si>
  <si>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</si>
  <si>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</si>
  <si>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</si>
  <si>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</si>
  <si>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</si>
  <si>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</si>
  <si>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</si>
  <si>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</si>
  <si>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</si>
  <si>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</si>
  <si>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</si>
  <si>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</si>
  <si>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</si>
  <si>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</si>
  <si>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</si>
  <si>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</si>
  <si>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</si>
  <si>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</si>
  <si>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</si>
  <si>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</si>
  <si>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</si>
  <si>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</si>
  <si>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</si>
  <si>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</si>
  <si>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</si>
  <si>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</si>
  <si>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</si>
  <si>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</si>
  <si>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</si>
  <si>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</si>
  <si>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</si>
  <si>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</si>
  <si>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</si>
  <si>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</si>
  <si>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</si>
  <si>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</si>
  <si>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</si>
  <si>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</si>
  <si>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</si>
  <si>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</si>
  <si>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</si>
  <si>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</si>
  <si>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</si>
  <si>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</si>
  <si>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</si>
  <si>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</si>
  <si>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</si>
  <si>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</si>
  <si>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</si>
  <si>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</si>
  <si>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</si>
  <si>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</si>
  <si>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</si>
  <si>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</si>
  <si>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</si>
  <si>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</si>
  <si>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</si>
  <si>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</si>
  <si>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</si>
  <si>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</si>
  <si>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</si>
  <si>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</si>
  <si>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</si>
  <si>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</si>
  <si>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</si>
  <si>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</si>
  <si>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</si>
  <si>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</si>
  <si>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</si>
  <si>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</si>
  <si>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</si>
  <si>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</si>
  <si>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</si>
  <si>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</si>
  <si>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</si>
  <si>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</si>
  <si>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</si>
  <si>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</si>
  <si>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</si>
  <si>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</si>
  <si>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</si>
  <si>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</si>
  <si>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</si>
  <si>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</si>
  <si>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</si>
  <si>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</si>
  <si>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</si>
  <si>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</si>
  <si>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</si>
  <si>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</si>
  <si>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</si>
  <si>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</si>
  <si>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</si>
  <si>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</si>
  <si>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</si>
  <si>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</si>
  <si>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</si>
  <si>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</si>
  <si>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6016202752814</t>
  </si>
  <si>
    <t>Factory</t>
  </si>
  <si>
    <t>Technician</t>
  </si>
  <si>
    <t>Mr. Khin Kyaw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</si>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</sst>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6" zoomScale="120" zoomScaleNormal="120" workbookViewId="0">
      <selection activeCell="F17" sqref="F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F20" sqref="F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I16+'68-Feb'!B24</f>
        <v>0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I16+'68-Mar'!B24</f>
        <v>0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F23" sqref="F23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I16+'68-Apr'!B24</f>
        <v>0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I16+'68-May'!B24</f>
        <v>0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I16+'68-Jun'!B24</f>
        <v>0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I16+'68-Jul'!B24</f>
        <v>0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I16+'68-Aug'!B24</f>
        <v>0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I16+'68-Sep'!B24</f>
        <v>0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3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>
        <f>22738+750</f>
        <v>23488</v>
      </c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23488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I16+'68-Oct'!B24</f>
        <v>23488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22738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10" zoomScale="110" zoomScaleNormal="110" workbookViewId="0">
      <selection activeCell="D16" sqref="D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>
        <f>+'ใบสรุป-68'!C6</f>
        <v>560604</v>
      </c>
      <c r="G7" s="145" t="str">
        <f>+'ใบสรุป-68'!D6</f>
        <v>6016202752814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6" t="str">
        <f>+'ใบสรุป-68'!C7</f>
        <v>Technician</v>
      </c>
      <c r="G8" s="69"/>
      <c r="H8" s="47"/>
      <c r="I8" s="64" t="s">
        <v>119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 Khin Kyaw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Mr. Khin Kyaw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7">
        <f>20619+750</f>
        <v>21369</v>
      </c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21369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8">
        <v>0</v>
      </c>
      <c r="C20" s="7">
        <v>750</v>
      </c>
      <c r="D20" s="148">
        <v>0</v>
      </c>
      <c r="E20" s="148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50">
        <f>I16+'68-Nov'!B24</f>
        <v>44857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20619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3" workbookViewId="0">
      <selection activeCell="J22" sqref="J22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.69921875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41" t="s">
        <v>109</v>
      </c>
      <c r="D4" s="142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6" t="s">
        <v>2</v>
      </c>
      <c r="B5" s="137"/>
      <c r="C5" s="143" t="s">
        <v>109</v>
      </c>
      <c r="D5" s="144"/>
      <c r="E5" s="135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8"/>
      <c r="C6" s="123">
        <v>560604</v>
      </c>
      <c r="D6" s="133" t="s">
        <v>106</v>
      </c>
      <c r="E6" s="134"/>
      <c r="F6" s="79"/>
      <c r="G6" s="79"/>
      <c r="H6" s="79"/>
      <c r="I6" s="80"/>
      <c r="J6" s="80"/>
      <c r="L6" s="81"/>
    </row>
    <row r="7" spans="1:15" ht="21" thickBot="1" x14ac:dyDescent="0.3">
      <c r="A7" s="139" t="s">
        <v>24</v>
      </c>
      <c r="B7" s="140"/>
      <c r="C7" s="132" t="s">
        <v>108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107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9" t="s">
        <v>32</v>
      </c>
      <c r="B9" s="140"/>
      <c r="C9" s="129" t="s">
        <v>108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28">
        <v>239606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-750</v>
      </c>
      <c r="M15" s="107">
        <f t="shared" ref="M15:M25" si="2"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6" si="3">+-SUM(0)*3%</f>
        <v>0</v>
      </c>
      <c r="L16" s="111">
        <f t="shared" ref="L16:L25" si="4">H16-J16</f>
        <v>-750</v>
      </c>
      <c r="M16" s="107">
        <f t="shared" si="2"/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3"/>
        <v>0</v>
      </c>
      <c r="L17" s="111">
        <f t="shared" si="4"/>
        <v>-750</v>
      </c>
      <c r="M17" s="107">
        <f t="shared" si="2"/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0</v>
      </c>
      <c r="I18" s="41" t="s">
        <v>62</v>
      </c>
      <c r="J18" s="111">
        <f t="shared" si="1"/>
        <v>750</v>
      </c>
      <c r="K18" s="111">
        <f t="shared" si="3"/>
        <v>0</v>
      </c>
      <c r="L18" s="111">
        <f t="shared" si="4"/>
        <v>-750</v>
      </c>
      <c r="M18" s="107">
        <f t="shared" si="2"/>
        <v>-750</v>
      </c>
      <c r="N18" s="41" t="s">
        <v>110</v>
      </c>
      <c r="O18" s="107"/>
    </row>
    <row r="19" spans="1:15" x14ac:dyDescent="0.25">
      <c r="A19" s="112" t="s">
        <v>59</v>
      </c>
      <c r="B19" s="110">
        <f>'68-May'!B16</f>
        <v>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0</v>
      </c>
      <c r="I19" s="41" t="s">
        <v>62</v>
      </c>
      <c r="J19" s="111">
        <f t="shared" si="1"/>
        <v>750</v>
      </c>
      <c r="K19" s="111">
        <f t="shared" si="3"/>
        <v>0</v>
      </c>
      <c r="L19" s="111">
        <f t="shared" si="4"/>
        <v>-750</v>
      </c>
      <c r="M19" s="107">
        <f t="shared" si="2"/>
        <v>-750</v>
      </c>
      <c r="N19" s="41" t="s">
        <v>111</v>
      </c>
      <c r="O19" s="107"/>
    </row>
    <row r="20" spans="1:15" x14ac:dyDescent="0.25">
      <c r="A20" s="112" t="s">
        <v>60</v>
      </c>
      <c r="B20" s="110">
        <f>'68-Jun'!B16</f>
        <v>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0</v>
      </c>
      <c r="I20" s="41" t="s">
        <v>62</v>
      </c>
      <c r="J20" s="111">
        <f t="shared" si="1"/>
        <v>750</v>
      </c>
      <c r="K20" s="111">
        <f t="shared" si="3"/>
        <v>0</v>
      </c>
      <c r="L20" s="111">
        <f t="shared" si="4"/>
        <v>-750</v>
      </c>
      <c r="M20" s="107">
        <f t="shared" si="2"/>
        <v>-750</v>
      </c>
      <c r="N20" s="41" t="s">
        <v>112</v>
      </c>
      <c r="O20" s="107"/>
    </row>
    <row r="21" spans="1:15" x14ac:dyDescent="0.25">
      <c r="A21" s="112" t="s">
        <v>61</v>
      </c>
      <c r="B21" s="110">
        <f>'68-Jul'!B16</f>
        <v>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0</v>
      </c>
      <c r="I21" s="41" t="s">
        <v>62</v>
      </c>
      <c r="J21" s="111">
        <f t="shared" si="1"/>
        <v>750</v>
      </c>
      <c r="K21" s="111">
        <f t="shared" si="3"/>
        <v>0</v>
      </c>
      <c r="L21" s="111">
        <f t="shared" si="4"/>
        <v>-750</v>
      </c>
      <c r="M21" s="107">
        <f t="shared" si="2"/>
        <v>-750</v>
      </c>
      <c r="N21" s="41" t="s">
        <v>113</v>
      </c>
      <c r="O21" s="107"/>
    </row>
    <row r="22" spans="1:15" x14ac:dyDescent="0.25">
      <c r="A22" s="112" t="s">
        <v>63</v>
      </c>
      <c r="B22" s="110">
        <f>'68-Aug'!B16</f>
        <v>0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0</v>
      </c>
      <c r="I22" s="41" t="s">
        <v>62</v>
      </c>
      <c r="J22" s="111">
        <f t="shared" si="1"/>
        <v>750</v>
      </c>
      <c r="K22" s="111">
        <f t="shared" si="3"/>
        <v>0</v>
      </c>
      <c r="L22" s="111">
        <f t="shared" si="4"/>
        <v>-750</v>
      </c>
      <c r="M22" s="107">
        <f t="shared" si="2"/>
        <v>-750</v>
      </c>
      <c r="N22" s="41" t="s">
        <v>114</v>
      </c>
      <c r="O22" s="107"/>
    </row>
    <row r="23" spans="1:15" x14ac:dyDescent="0.25">
      <c r="A23" s="112" t="s">
        <v>64</v>
      </c>
      <c r="B23" s="110">
        <f>'68-Sep'!B16</f>
        <v>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0</v>
      </c>
      <c r="I23" s="41" t="s">
        <v>62</v>
      </c>
      <c r="J23" s="111">
        <f t="shared" si="1"/>
        <v>750</v>
      </c>
      <c r="K23" s="111">
        <f t="shared" si="3"/>
        <v>0</v>
      </c>
      <c r="L23" s="111">
        <f>H23-J23</f>
        <v>-750</v>
      </c>
      <c r="M23" s="107">
        <f t="shared" si="2"/>
        <v>-750</v>
      </c>
      <c r="N23" s="41" t="s">
        <v>115</v>
      </c>
      <c r="O23" s="107"/>
    </row>
    <row r="24" spans="1:15" x14ac:dyDescent="0.25">
      <c r="A24" s="112" t="s">
        <v>65</v>
      </c>
      <c r="B24" s="110">
        <f>'68-Oct'!B16</f>
        <v>0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0</v>
      </c>
      <c r="I24" s="41" t="s">
        <v>62</v>
      </c>
      <c r="J24" s="111">
        <f t="shared" si="1"/>
        <v>750</v>
      </c>
      <c r="K24" s="111">
        <f t="shared" si="3"/>
        <v>0</v>
      </c>
      <c r="L24" s="111">
        <f t="shared" si="4"/>
        <v>-750</v>
      </c>
      <c r="M24" s="107">
        <f t="shared" si="2"/>
        <v>-750</v>
      </c>
      <c r="N24" s="41" t="s">
        <v>116</v>
      </c>
      <c r="O24" s="107"/>
    </row>
    <row r="25" spans="1:15" x14ac:dyDescent="0.25">
      <c r="A25" s="112" t="s">
        <v>66</v>
      </c>
      <c r="B25" s="110">
        <f>'68-Nov'!B16</f>
        <v>23488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23488</v>
      </c>
      <c r="I25" s="41" t="s">
        <v>62</v>
      </c>
      <c r="J25" s="111">
        <f t="shared" si="1"/>
        <v>750</v>
      </c>
      <c r="K25" s="111">
        <f t="shared" si="3"/>
        <v>0</v>
      </c>
      <c r="L25" s="111">
        <f t="shared" si="4"/>
        <v>22738</v>
      </c>
      <c r="M25" s="107">
        <f t="shared" si="2"/>
        <v>22738</v>
      </c>
      <c r="N25" s="41" t="s">
        <v>117</v>
      </c>
      <c r="O25" s="107"/>
    </row>
    <row r="26" spans="1:15" x14ac:dyDescent="0.25">
      <c r="A26" s="112" t="s">
        <v>67</v>
      </c>
      <c r="B26" s="110">
        <f>'68-Dec'!B16</f>
        <v>21369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21369</v>
      </c>
      <c r="I26" s="41" t="s">
        <v>62</v>
      </c>
      <c r="J26" s="111">
        <f>(15000)*I26</f>
        <v>750</v>
      </c>
      <c r="K26" s="111">
        <f t="shared" si="3"/>
        <v>0</v>
      </c>
      <c r="L26" s="111">
        <f>H26-J26</f>
        <v>20619</v>
      </c>
      <c r="M26" s="107">
        <f>L26</f>
        <v>20619</v>
      </c>
      <c r="N26" s="41" t="s">
        <v>118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44857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44857</v>
      </c>
      <c r="I28" s="120"/>
      <c r="J28" s="120">
        <f>SUM(J15:J27)</f>
        <v>9000</v>
      </c>
      <c r="K28" s="120">
        <f>SUM(K15:K27)</f>
        <v>0</v>
      </c>
      <c r="L28" s="119">
        <f>SUM(L15:L27)</f>
        <v>35857</v>
      </c>
      <c r="M28" s="121">
        <f>SUM(M15:M27)</f>
        <v>35857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2026-01-07T01:52:25Z</dcterms:modified>
</cp:coreProperties>
</file>