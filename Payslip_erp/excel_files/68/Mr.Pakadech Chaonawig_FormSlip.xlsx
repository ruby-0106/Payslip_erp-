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7EA21094-DB4D-410A-BEEE-C2850460CFDC}" xr6:coauthVersionLast="37" xr6:coauthVersionMax="47" xr10:uidLastSave="{00000000-0000-0000-0000-000000000000}"/>
  <bookViews>
    <workbookView xWindow="0" yWindow="0" windowWidth="23040" windowHeight="9084" tabRatio="601" firstSheet="1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58" l="1"/>
  <c r="B16" i="54" l="1"/>
  <c r="B16" i="53"/>
  <c r="B16" i="57"/>
  <c r="B16" i="56"/>
  <c r="B16" i="55"/>
  <c r="M17" i="44" l="1"/>
  <c r="D24" i="54"/>
  <c r="J15" i="44"/>
  <c r="J16" i="44"/>
  <c r="J17" i="44"/>
  <c r="J18" i="44"/>
  <c r="J19" i="44"/>
  <c r="J20" i="44"/>
  <c r="J21" i="44"/>
  <c r="J22" i="44"/>
  <c r="J23" i="44"/>
  <c r="J24" i="44"/>
  <c r="J25" i="44"/>
  <c r="J26" i="44"/>
  <c r="I16" i="60"/>
  <c r="I24" i="60" s="1"/>
  <c r="D24" i="55"/>
  <c r="D24" i="56" s="1"/>
  <c r="D24" i="57" s="1"/>
  <c r="D24" i="58" s="1"/>
  <c r="D24" i="59" s="1"/>
  <c r="D24" i="60" s="1"/>
  <c r="D24" i="53"/>
  <c r="D24" i="52"/>
  <c r="D24" i="51"/>
  <c r="D24" i="50"/>
  <c r="C24" i="28"/>
  <c r="C24" i="50" s="1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I16" i="50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0" i="51"/>
  <c r="I16" i="5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52" l="1"/>
  <c r="I24" i="51"/>
  <c r="I24" i="50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I24" i="28" s="1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<sst xmlns="http://schemas.openxmlformats.org/spreadsheetml/2006/main" count="722" uniqueCount="123">
  <si>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</si>
  <si>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</si>
  <si>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</si>
  <si>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</si>
  <si>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</si>
  <si>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</si>
  <si>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</si>
  <si>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</si>
  <si>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</si>
  <si>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</si>
  <si>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</si>
  <si>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</si>
  <si>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</si>
  <si>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</si>
  <si>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</si>
  <si>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</si>
  <si>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</si>
  <si>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</si>
  <si>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</si>
  <si>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</si>
  <si>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</si>
  <si>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</si>
  <si>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</si>
  <si>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</si>
  <si>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</si>
  <si>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</si>
  <si>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</si>
  <si>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</si>
  <si>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</si>
  <si>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</si>
  <si>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</si>
  <si>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</si>
  <si>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</si>
  <si>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</si>
  <si>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</si>
  <si>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</si>
  <si>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</si>
  <si>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</si>
  <si>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</si>
  <si>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</si>
  <si>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</si>
  <si>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</si>
  <si>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</si>
  <si>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</si>
  <si>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</si>
  <si>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</si>
  <si>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</si>
  <si>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</si>
  <si>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</si>
  <si>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</si>
  <si>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</si>
  <si>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</si>
  <si>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</si>
  <si>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</si>
  <si>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</si>
  <si>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</si>
  <si>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</si>
  <si>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</si>
  <si>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</si>
  <si>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</si>
  <si>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</si>
  <si>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</si>
  <si>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</si>
  <si>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</si>
  <si>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</si>
  <si>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</si>
  <si>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</si>
  <si>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</si>
  <si>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</si>
  <si>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</si>
  <si>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</si>
  <si>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</si>
  <si>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</si>
  <si>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</si>
  <si>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</si>
  <si>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</si>
  <si>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</si>
  <si>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</si>
  <si>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</si>
  <si>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</si>
  <si>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</si>
  <si>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</si>
  <si>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</si>
  <si>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</si>
  <si>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</si>
  <si>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</si>
  <si>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</si>
  <si>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</si>
  <si>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</si>
  <si>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</si>
  <si>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</si>
  <si>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</si>
  <si>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</si>
  <si>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</si>
  <si>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</si>
  <si>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</si>
  <si>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</si>
  <si>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</si>
  <si>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</si>
  <si>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</si>
  <si>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</si>
  <si>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</si>
  <si>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</si>
  <si>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</si>
  <si>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</si>
  <si>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</si>
  <si>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</si>
  <si>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</si>
  <si>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</si>
  <si>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</si>
  <si>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</si>
  <si>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</si>
  <si>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</si>
  <si>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</si>
  <si>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</si>
  <si>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</si>
  <si>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Office</t>
  </si>
  <si>
    <t>Mr.Pakadech Chaonawig</t>
  </si>
  <si>
    <t>นายภัคเดช ชาวนาวิก</t>
  </si>
  <si>
    <t>680501</t>
  </si>
  <si>
    <t>1739901970964</t>
  </si>
  <si>
    <t>Sales Department</t>
  </si>
  <si>
    <t>Sales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</si>
</sst>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21" fillId="0" borderId="4" xfId="0" applyNumberFormat="1" applyFont="1" applyBorder="1" applyAlignment="1">
      <alignment horizontal="left" vertical="center"/>
    </xf>
    <xf numFmtId="49" fontId="14" fillId="2" borderId="40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0" zoomScale="120" zoomScaleNormal="12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680501</v>
      </c>
      <c r="G7" s="143" t="str">
        <f>+'ใบสรุป-68'!D6</f>
        <v>1739901970964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Sales Department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Sales engineer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0</v>
      </c>
      <c r="C24" s="6">
        <f>C20</f>
        <v>0</v>
      </c>
      <c r="D24" s="36">
        <f>B20</f>
        <v>0</v>
      </c>
      <c r="E24" s="54">
        <f>F16+G16+D20+E20</f>
        <v>0</v>
      </c>
      <c r="F24" s="61"/>
      <c r="I24" s="65">
        <f>+I16-I20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3" zoomScale="110" zoomScaleNormal="11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680501</v>
      </c>
      <c r="G7" s="143" t="str">
        <f>+'ใบสรุป-68'!D6</f>
        <v>1739901970964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Sales Department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Sales engineer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0</v>
      </c>
      <c r="C24" s="35">
        <f>C20+'68-jan'!C24</f>
        <v>0</v>
      </c>
      <c r="D24" s="36">
        <f>B20+'68-jan'!D24</f>
        <v>0</v>
      </c>
      <c r="E24" s="54"/>
      <c r="F24" s="61"/>
      <c r="I24" s="65">
        <f>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680501</v>
      </c>
      <c r="G7" s="143" t="str">
        <f>+'ใบสรุป-68'!D6</f>
        <v>1739901970964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Sales Department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Sales engineer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I16+'68-Feb'!B24</f>
        <v>0</v>
      </c>
      <c r="C24" s="35">
        <f>C20+'68-Feb'!C24</f>
        <v>0</v>
      </c>
      <c r="D24" s="36">
        <f>B20+'68-Feb'!D24</f>
        <v>0</v>
      </c>
      <c r="E24" s="54"/>
      <c r="F24" s="61"/>
      <c r="I24" s="65">
        <f>+I16-I20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7" zoomScale="110" zoomScaleNormal="11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680501</v>
      </c>
      <c r="G7" s="143" t="str">
        <f>+'ใบสรุป-68'!D6</f>
        <v>1739901970964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Sales Department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Sales engineer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I16+'68-Mar'!B24</f>
        <v>0</v>
      </c>
      <c r="C24" s="35">
        <f>C20+'68-Mar'!C24</f>
        <v>0</v>
      </c>
      <c r="D24" s="36">
        <f>B20+'68-Mar'!D24</f>
        <v>0</v>
      </c>
      <c r="E24" s="54"/>
      <c r="F24" s="61"/>
      <c r="I24" s="65">
        <f>+I16-I20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7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680501</v>
      </c>
      <c r="G7" s="143" t="str">
        <f>+'ใบสรุป-68'!D6</f>
        <v>1739901970964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Sales Department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Sales engineer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25000+750</f>
        <v>25750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25750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I16+'68-Apr'!B24</f>
        <v>25750</v>
      </c>
      <c r="C24" s="35">
        <f>C20+'68-Apr'!C24</f>
        <v>750</v>
      </c>
      <c r="D24" s="36">
        <f>B20+'68-Apr'!D24</f>
        <v>0</v>
      </c>
      <c r="E24" s="54"/>
      <c r="F24" s="61"/>
      <c r="I24" s="65">
        <f>+I16-I20</f>
        <v>25000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7" zoomScale="110" zoomScaleNormal="110" workbookViewId="0">
      <selection activeCell="D16" sqref="D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680501</v>
      </c>
      <c r="G7" s="143" t="str">
        <f>+'ใบสรุป-68'!D6</f>
        <v>1739901970964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Sales Department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Sales engineer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30000+750</f>
        <v>30750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30750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I16+'68-May'!B24</f>
        <v>56500</v>
      </c>
      <c r="C24" s="35">
        <f>C20+'68-May'!C24</f>
        <v>1500</v>
      </c>
      <c r="D24" s="36">
        <f>B20+'68-May'!D24</f>
        <v>0</v>
      </c>
      <c r="E24" s="54"/>
      <c r="F24" s="61"/>
      <c r="I24" s="65">
        <f>+I16-I20</f>
        <v>30000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7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680501</v>
      </c>
      <c r="G7" s="143" t="str">
        <f>+'ใบสรุป-68'!D6</f>
        <v>1739901970964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Sales Department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Sales engineer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30000+750</f>
        <v>30750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30750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I16+'68-Jun'!B24</f>
        <v>87250</v>
      </c>
      <c r="C24" s="35">
        <f>C20+'68-Jun'!C24</f>
        <v>2250</v>
      </c>
      <c r="D24" s="36">
        <f>B20+'68-Jun'!D24</f>
        <v>0</v>
      </c>
      <c r="E24" s="54"/>
      <c r="F24" s="61"/>
      <c r="I24" s="65">
        <f>+I16-I20</f>
        <v>30000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10" zoomScale="110" zoomScaleNormal="110" workbookViewId="0">
      <selection activeCell="E16" sqref="E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680501</v>
      </c>
      <c r="G7" s="143" t="str">
        <f>+'ใบสรุป-68'!D6</f>
        <v>1739901970964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Sales Department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Sales engineer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30000+750</f>
        <v>30750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30750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I16+'68-Jul'!B24</f>
        <v>118000</v>
      </c>
      <c r="C24" s="35">
        <f>C20+'68-Jul'!C24</f>
        <v>3000</v>
      </c>
      <c r="D24" s="36">
        <f>B20+'68-Jul'!D24</f>
        <v>0</v>
      </c>
      <c r="E24" s="54"/>
      <c r="F24" s="61"/>
      <c r="I24" s="65">
        <f>+I16-I20</f>
        <v>30000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7" zoomScale="110" zoomScaleNormal="110" workbookViewId="0">
      <selection activeCell="D16" sqref="D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680501</v>
      </c>
      <c r="G7" s="143" t="str">
        <f>+'ใบสรุป-68'!D6</f>
        <v>1739901970964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Sales Department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Sales engineer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30000+750</f>
        <v>30750</v>
      </c>
      <c r="C16" s="145"/>
      <c r="D16" s="145"/>
      <c r="E16" s="147">
        <v>5925</v>
      </c>
      <c r="F16" s="146">
        <v>0</v>
      </c>
      <c r="G16" s="146">
        <v>0</v>
      </c>
      <c r="H16" s="53"/>
      <c r="I16" s="31">
        <f>SUM(B16+C16+D16+E16+F16+G16)</f>
        <v>36675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I16+'68-Aug'!B24</f>
        <v>154675</v>
      </c>
      <c r="C24" s="35">
        <f>C20+'68-Aug'!C24</f>
        <v>3750</v>
      </c>
      <c r="D24" s="36">
        <f>B20+'68-Aug'!D24</f>
        <v>0</v>
      </c>
      <c r="E24" s="54"/>
      <c r="F24" s="61"/>
      <c r="I24" s="65">
        <f>+I16-I20</f>
        <v>35925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7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680501</v>
      </c>
      <c r="G7" s="143" t="str">
        <f>+'ใบสรุป-68'!D6</f>
        <v>1739901970964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Sales Department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Sales engineer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35000</f>
        <v>35000</v>
      </c>
      <c r="C16" s="145"/>
      <c r="D16" s="145"/>
      <c r="E16" s="147">
        <v>5925</v>
      </c>
      <c r="F16" s="146">
        <v>0</v>
      </c>
      <c r="G16" s="146">
        <v>0</v>
      </c>
      <c r="H16" s="53"/>
      <c r="I16" s="31">
        <f>SUM(B16+C16+D16+E16+F16+G16)</f>
        <v>40925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I16+'68-Sep'!B24</f>
        <v>195600</v>
      </c>
      <c r="C24" s="35">
        <f>C20+'68-Sep'!C24</f>
        <v>4500</v>
      </c>
      <c r="D24" s="36">
        <f>B20+'68-Sep'!D24</f>
        <v>0</v>
      </c>
      <c r="E24" s="54"/>
      <c r="F24" s="61"/>
      <c r="I24" s="65">
        <f>+I16-I20</f>
        <v>40175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7" zoomScale="110" zoomScaleNormal="110" workbookViewId="0">
      <selection activeCell="D16" sqref="D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680501</v>
      </c>
      <c r="G7" s="143" t="str">
        <f>+'ใบสรุป-68'!D6</f>
        <v>1739901970964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Sales Department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Sales engineer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v>35000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35000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I16+'68-Oct'!B24</f>
        <v>230600</v>
      </c>
      <c r="C24" s="35">
        <f>C20+'68-Oct'!C24</f>
        <v>5250</v>
      </c>
      <c r="D24" s="36">
        <f>B20+'68-Oct'!D24</f>
        <v>0</v>
      </c>
      <c r="E24" s="54"/>
      <c r="F24" s="61"/>
      <c r="I24" s="65">
        <f>+I16-I20</f>
        <v>34250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10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680501</v>
      </c>
      <c r="G7" s="143" t="str">
        <f>+'ใบสรุป-68'!D6</f>
        <v>1739901970964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Sales Department</v>
      </c>
      <c r="G8" s="69"/>
      <c r="H8" s="47"/>
      <c r="I8" s="64" t="s">
        <v>115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Sales engineer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v>35000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35000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I16+'68-Nov'!B24</f>
        <v>265600</v>
      </c>
      <c r="C24" s="35">
        <f>C20+'68-Nov'!C24</f>
        <v>6000</v>
      </c>
      <c r="D24" s="36">
        <f>B20+'68-Nov'!D24</f>
        <v>0</v>
      </c>
      <c r="E24" s="54"/>
      <c r="F24" s="61"/>
      <c r="I24" s="65">
        <f>I16-I20</f>
        <v>34250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workbookViewId="0">
      <selection activeCell="F12" sqref="F12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39" t="s">
        <v>117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4" t="s">
        <v>2</v>
      </c>
      <c r="B5" s="135"/>
      <c r="C5" s="141" t="s">
        <v>118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6"/>
      <c r="C6" s="150" t="s">
        <v>119</v>
      </c>
      <c r="D6" s="150" t="s">
        <v>120</v>
      </c>
      <c r="E6" s="132"/>
      <c r="F6" s="79"/>
      <c r="G6" s="79"/>
      <c r="H6" s="79"/>
      <c r="I6" s="80"/>
      <c r="J6" s="80"/>
      <c r="L6" s="81"/>
    </row>
    <row r="7" spans="1:15" ht="21" thickBot="1" x14ac:dyDescent="0.3">
      <c r="A7" s="137" t="s">
        <v>24</v>
      </c>
      <c r="B7" s="138"/>
      <c r="C7" s="131" t="s">
        <v>121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116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7" t="s">
        <v>32</v>
      </c>
      <c r="B9" s="138"/>
      <c r="C9" s="128" t="s">
        <v>122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49" t="s">
        <v>77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0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0</v>
      </c>
      <c r="I15" s="41" t="s">
        <v>62</v>
      </c>
      <c r="J15" s="111">
        <f t="shared" ref="J15:J25" si="1">(15000)*I15</f>
        <v>750</v>
      </c>
      <c r="K15" s="111">
        <f>+-SUM(0)*3%</f>
        <v>0</v>
      </c>
      <c r="L15" s="111">
        <f>H15-J15</f>
        <v>-750</v>
      </c>
      <c r="M15" s="107">
        <f>L15</f>
        <v>-750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0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0</v>
      </c>
      <c r="I16" s="41" t="s">
        <v>62</v>
      </c>
      <c r="J16" s="111">
        <f t="shared" si="1"/>
        <v>750</v>
      </c>
      <c r="K16" s="111">
        <f t="shared" ref="K16:K26" si="2">+-SUM(0)*3%</f>
        <v>0</v>
      </c>
      <c r="L16" s="111">
        <f t="shared" ref="L16:L25" si="3">H16-J16</f>
        <v>-750</v>
      </c>
      <c r="M16" s="107">
        <f t="shared" ref="M16:M26" si="4">L16</f>
        <v>-750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0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0</v>
      </c>
      <c r="I17" s="41" t="s">
        <v>62</v>
      </c>
      <c r="J17" s="111">
        <f t="shared" si="1"/>
        <v>750</v>
      </c>
      <c r="K17" s="111">
        <f t="shared" si="2"/>
        <v>0</v>
      </c>
      <c r="L17" s="111">
        <f t="shared" si="3"/>
        <v>-750</v>
      </c>
      <c r="M17" s="107">
        <f>L17</f>
        <v>-750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0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0</v>
      </c>
      <c r="I18" s="41" t="s">
        <v>62</v>
      </c>
      <c r="J18" s="111">
        <f t="shared" si="1"/>
        <v>750</v>
      </c>
      <c r="K18" s="111">
        <f t="shared" si="2"/>
        <v>0</v>
      </c>
      <c r="L18" s="111">
        <f t="shared" si="3"/>
        <v>-750</v>
      </c>
      <c r="M18" s="107">
        <f t="shared" si="4"/>
        <v>-750</v>
      </c>
      <c r="N18" s="41" t="s">
        <v>106</v>
      </c>
      <c r="O18" s="107"/>
    </row>
    <row r="19" spans="1:15" x14ac:dyDescent="0.25">
      <c r="A19" s="112" t="s">
        <v>59</v>
      </c>
      <c r="B19" s="110">
        <f>'68-May'!B16</f>
        <v>25750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25750</v>
      </c>
      <c r="I19" s="41" t="s">
        <v>62</v>
      </c>
      <c r="J19" s="111">
        <f t="shared" si="1"/>
        <v>750</v>
      </c>
      <c r="K19" s="111">
        <f t="shared" si="2"/>
        <v>0</v>
      </c>
      <c r="L19" s="111">
        <f t="shared" si="3"/>
        <v>25000</v>
      </c>
      <c r="M19" s="107">
        <f t="shared" si="4"/>
        <v>25000</v>
      </c>
      <c r="N19" s="41" t="s">
        <v>107</v>
      </c>
      <c r="O19" s="107"/>
    </row>
    <row r="20" spans="1:15" x14ac:dyDescent="0.25">
      <c r="A20" s="112" t="s">
        <v>60</v>
      </c>
      <c r="B20" s="110">
        <f>'68-Jun'!B16</f>
        <v>30750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30750</v>
      </c>
      <c r="I20" s="41" t="s">
        <v>62</v>
      </c>
      <c r="J20" s="111">
        <f t="shared" si="1"/>
        <v>750</v>
      </c>
      <c r="K20" s="111">
        <f t="shared" si="2"/>
        <v>0</v>
      </c>
      <c r="L20" s="111">
        <f t="shared" si="3"/>
        <v>30000</v>
      </c>
      <c r="M20" s="107">
        <f t="shared" si="4"/>
        <v>30000</v>
      </c>
      <c r="N20" s="41" t="s">
        <v>108</v>
      </c>
      <c r="O20" s="107"/>
    </row>
    <row r="21" spans="1:15" x14ac:dyDescent="0.25">
      <c r="A21" s="112" t="s">
        <v>61</v>
      </c>
      <c r="B21" s="110">
        <f>'68-Jul'!B16</f>
        <v>30750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30750</v>
      </c>
      <c r="I21" s="41" t="s">
        <v>62</v>
      </c>
      <c r="J21" s="111">
        <f t="shared" si="1"/>
        <v>750</v>
      </c>
      <c r="K21" s="111">
        <f t="shared" si="2"/>
        <v>0</v>
      </c>
      <c r="L21" s="111">
        <f t="shared" si="3"/>
        <v>30000</v>
      </c>
      <c r="M21" s="107">
        <f t="shared" si="4"/>
        <v>30000</v>
      </c>
      <c r="N21" s="41" t="s">
        <v>109</v>
      </c>
      <c r="O21" s="107"/>
    </row>
    <row r="22" spans="1:15" x14ac:dyDescent="0.25">
      <c r="A22" s="112" t="s">
        <v>63</v>
      </c>
      <c r="B22" s="110">
        <f>'68-Aug'!B16</f>
        <v>30750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30750</v>
      </c>
      <c r="I22" s="41" t="s">
        <v>62</v>
      </c>
      <c r="J22" s="111">
        <f t="shared" si="1"/>
        <v>750</v>
      </c>
      <c r="K22" s="111">
        <f t="shared" si="2"/>
        <v>0</v>
      </c>
      <c r="L22" s="111">
        <f t="shared" si="3"/>
        <v>30000</v>
      </c>
      <c r="M22" s="107">
        <f t="shared" si="4"/>
        <v>30000</v>
      </c>
      <c r="N22" s="41" t="s">
        <v>110</v>
      </c>
      <c r="O22" s="107"/>
    </row>
    <row r="23" spans="1:15" x14ac:dyDescent="0.25">
      <c r="A23" s="112" t="s">
        <v>64</v>
      </c>
      <c r="B23" s="110">
        <f>'68-Sep'!B16</f>
        <v>30750</v>
      </c>
      <c r="C23" s="110">
        <f>'68-Sep'!C16</f>
        <v>0</v>
      </c>
      <c r="D23" s="110">
        <f>'68-Sep'!D16</f>
        <v>0</v>
      </c>
      <c r="E23" s="110">
        <f>'68-Sep'!E16</f>
        <v>5925</v>
      </c>
      <c r="F23" s="110">
        <f>'68-Sep'!F16</f>
        <v>0</v>
      </c>
      <c r="G23" s="110">
        <f>'68-Sep'!G16</f>
        <v>0</v>
      </c>
      <c r="H23" s="107">
        <f t="shared" si="0"/>
        <v>36675</v>
      </c>
      <c r="I23" s="41" t="s">
        <v>62</v>
      </c>
      <c r="J23" s="111">
        <f t="shared" si="1"/>
        <v>750</v>
      </c>
      <c r="K23" s="111">
        <f t="shared" si="2"/>
        <v>0</v>
      </c>
      <c r="L23" s="111">
        <f t="shared" si="3"/>
        <v>35925</v>
      </c>
      <c r="M23" s="107">
        <f t="shared" si="4"/>
        <v>35925</v>
      </c>
      <c r="N23" s="41" t="s">
        <v>111</v>
      </c>
      <c r="O23" s="107"/>
    </row>
    <row r="24" spans="1:15" x14ac:dyDescent="0.25">
      <c r="A24" s="112" t="s">
        <v>65</v>
      </c>
      <c r="B24" s="110">
        <f>'68-Oct'!B16</f>
        <v>35000</v>
      </c>
      <c r="C24" s="110">
        <f>'68-Oct'!C16</f>
        <v>0</v>
      </c>
      <c r="D24" s="110">
        <f>'68-Oct'!D16</f>
        <v>0</v>
      </c>
      <c r="E24" s="110">
        <f>'68-Oct'!E16</f>
        <v>5925</v>
      </c>
      <c r="F24" s="110">
        <f>'68-Oct'!F16</f>
        <v>0</v>
      </c>
      <c r="G24" s="110">
        <f>'68-Oct'!G16</f>
        <v>0</v>
      </c>
      <c r="H24" s="107">
        <f t="shared" si="0"/>
        <v>40925</v>
      </c>
      <c r="I24" s="41" t="s">
        <v>62</v>
      </c>
      <c r="J24" s="111">
        <f t="shared" si="1"/>
        <v>750</v>
      </c>
      <c r="K24" s="111">
        <f t="shared" si="2"/>
        <v>0</v>
      </c>
      <c r="L24" s="111">
        <f t="shared" si="3"/>
        <v>40175</v>
      </c>
      <c r="M24" s="107">
        <f t="shared" si="4"/>
        <v>40175</v>
      </c>
      <c r="N24" s="41" t="s">
        <v>112</v>
      </c>
      <c r="O24" s="107"/>
    </row>
    <row r="25" spans="1:15" x14ac:dyDescent="0.25">
      <c r="A25" s="112" t="s">
        <v>66</v>
      </c>
      <c r="B25" s="110">
        <f>'68-Nov'!B16</f>
        <v>35000</v>
      </c>
      <c r="C25" s="110">
        <f>'68-Nov'!C16</f>
        <v>0</v>
      </c>
      <c r="D25" s="110">
        <f>'68-Nov'!D16</f>
        <v>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0"/>
        <v>35000</v>
      </c>
      <c r="I25" s="41" t="s">
        <v>62</v>
      </c>
      <c r="J25" s="111">
        <f t="shared" si="1"/>
        <v>750</v>
      </c>
      <c r="K25" s="111">
        <f t="shared" si="2"/>
        <v>0</v>
      </c>
      <c r="L25" s="111">
        <f t="shared" si="3"/>
        <v>34250</v>
      </c>
      <c r="M25" s="107">
        <f t="shared" si="4"/>
        <v>34250</v>
      </c>
      <c r="N25" s="41" t="s">
        <v>113</v>
      </c>
      <c r="O25" s="107"/>
    </row>
    <row r="26" spans="1:15" x14ac:dyDescent="0.25">
      <c r="A26" s="112" t="s">
        <v>67</v>
      </c>
      <c r="B26" s="110">
        <f>'68-Dec'!B16</f>
        <v>35000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35000</v>
      </c>
      <c r="I26" s="41" t="s">
        <v>62</v>
      </c>
      <c r="J26" s="111">
        <f>(15000)*I26</f>
        <v>750</v>
      </c>
      <c r="K26" s="111">
        <f t="shared" si="2"/>
        <v>0</v>
      </c>
      <c r="L26" s="111">
        <f>H26-J26</f>
        <v>34250</v>
      </c>
      <c r="M26" s="107">
        <f t="shared" si="4"/>
        <v>34250</v>
      </c>
      <c r="N26" s="41" t="s">
        <v>114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253750</v>
      </c>
      <c r="C28" s="119">
        <f t="shared" si="5"/>
        <v>0</v>
      </c>
      <c r="D28" s="119">
        <f t="shared" si="5"/>
        <v>0</v>
      </c>
      <c r="E28" s="119">
        <f t="shared" si="5"/>
        <v>11850</v>
      </c>
      <c r="F28" s="119">
        <f t="shared" si="5"/>
        <v>0</v>
      </c>
      <c r="G28" s="119">
        <f t="shared" si="5"/>
        <v>0</v>
      </c>
      <c r="H28" s="119">
        <f t="shared" si="5"/>
        <v>265600</v>
      </c>
      <c r="I28" s="120"/>
      <c r="J28" s="120">
        <f>SUM(J15:J27)</f>
        <v>9000</v>
      </c>
      <c r="K28" s="120">
        <f>SUM(K15:K27)</f>
        <v>0</v>
      </c>
      <c r="L28" s="119">
        <f>SUM(L15:L27)</f>
        <v>256600</v>
      </c>
      <c r="M28" s="121">
        <f>SUM(M15:M27)</f>
        <v>256600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2026-01-07T02:06:01Z</dcterms:modified>
</cp:coreProperties>
</file>