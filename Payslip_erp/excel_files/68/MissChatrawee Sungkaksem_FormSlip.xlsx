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8-jan" sheetId="1" r:id="rId4"/>
    <sheet state="visible" name="68-Feb" sheetId="2" r:id="rId5"/>
    <sheet state="visible" name="68-Mar" sheetId="3" r:id="rId6"/>
    <sheet state="visible" name="68-Apr" sheetId="4" r:id="rId7"/>
    <sheet state="visible" name="68-May" sheetId="5" r:id="rId8"/>
    <sheet state="visible" name="68-Jun" sheetId="6" r:id="rId9"/>
    <sheet state="visible" name="68-Jul" sheetId="7" r:id="rId10"/>
    <sheet state="visible" name="68-Aug" sheetId="8" r:id="rId11"/>
    <sheet state="visible" name="68-Sep" sheetId="9" r:id="rId12"/>
    <sheet state="visible" name="68-Oct" sheetId="10" r:id="rId13"/>
    <sheet state="visible" name="68-Nov" sheetId="11" r:id="rId14"/>
    <sheet state="visible" name="68-Dec" sheetId="12" r:id="rId15"/>
    <sheet state="visible" name="ด้านหลัง" sheetId="13" r:id="rId16"/>
    <sheet state="visible" name="ใบสรุป-68" sheetId="14" r:id="rId17"/>
  </sheets>
  <definedNames/>
  <calcPr/>
</workbook>
</file>

<file path=xl/sharedStrings.xml><?xml version="1.0" encoding="utf-8"?>
<sst xmlns="http://schemas.openxmlformats.org/spreadsheetml/2006/main" count="722" uniqueCount="123">
  <si>
    <t>บริษัท อีไอที เลเซอร์ เทคนิค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</si>
  <si>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</si>
  <si>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</si>
  <si>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ใบจ่ายเงินเดือน / Pay  Slip</t>
  </si>
  <si>
    <t>รหัสพนักงาน / Code Staff / ID</t>
  </si>
  <si>
    <t>วันที่/ Date</t>
  </si>
  <si>
    <t>แผนก / Department</t>
  </si>
  <si>
    <t>01/02/2568</t>
  </si>
  <si>
    <t>ฝ่าย / Division</t>
  </si>
  <si>
    <t>เดือน/ For Month</t>
  </si>
  <si>
    <t xml:space="preserve">ตำแหน่ง / Position </t>
  </si>
  <si>
    <t>มกราคม /January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</si>
  <si>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</si>
  <si>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</si>
  <si>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</si>
  <si>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</si>
  <si>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</si>
  <si>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ค่าเบี้ยขยัน</t>
  </si>
  <si>
    <t>ค่าคอมมิชชั่น</t>
  </si>
  <si>
    <t>อื่น ๆ</t>
  </si>
  <si>
    <t>รวมเงินได้ทั้งสิ้น</t>
  </si>
  <si>
    <t>Income</t>
  </si>
  <si>
    <t>Salary</t>
  </si>
  <si>
    <t>Over  time</t>
  </si>
  <si>
    <t>Commission</t>
  </si>
  <si>
    <t>Other</t>
  </si>
  <si>
    <t>Total Income</t>
  </si>
  <si>
    <t>รายการหัก</t>
  </si>
  <si>
    <t>ภาษี</t>
  </si>
  <si>
    <t>ประกันสังคม</t>
  </si>
  <si>
    <t>รายการ-อื่น ๆ</t>
  </si>
  <si>
    <t>รวมเงินหักทั้งสิ้น</t>
  </si>
  <si>
    <t>Reduction</t>
  </si>
  <si>
    <t>Income WHT</t>
  </si>
  <si>
    <t>Social Security Tax</t>
  </si>
  <si>
    <t>Total Reduction</t>
  </si>
  <si>
    <t>ยอดสะสม</t>
  </si>
  <si>
    <t>รายได้-สะสม</t>
  </si>
  <si>
    <t>ประกันสังคม-สะสม</t>
  </si>
  <si>
    <t>ภาษี-สะสม</t>
  </si>
  <si>
    <t>อื่น ๆ-สะสม</t>
  </si>
  <si>
    <t xml:space="preserve">รายได้สุทธิ </t>
  </si>
  <si>
    <t>Total Collection</t>
  </si>
  <si>
    <t>Collection Income</t>
  </si>
  <si>
    <t>Collection Social WHT</t>
  </si>
  <si>
    <t>Collection Income WHT</t>
  </si>
  <si>
    <t>Collection-Other</t>
  </si>
  <si>
    <t>Net Income</t>
  </si>
  <si>
    <t>01/03/2568</t>
  </si>
  <si>
    <t>กุมภาพันธ์ /February</t>
  </si>
  <si>
    <t>01/04/2568</t>
  </si>
  <si>
    <t>มีนาคม /March</t>
  </si>
  <si>
    <t>01/05/2568</t>
  </si>
  <si>
    <t>เมษายน /April</t>
  </si>
  <si>
    <t>01/06/2568</t>
  </si>
  <si>
    <t>พฤษภาคม /May</t>
  </si>
  <si>
    <t>01/07/2568</t>
  </si>
  <si>
    <t>มิถุนายน /June</t>
  </si>
  <si>
    <t>01/08/2568</t>
  </si>
  <si>
    <t>กรกฎาคม /July</t>
  </si>
  <si>
    <t>01/09/2568</t>
  </si>
  <si>
    <t>สิงหาคม /August</t>
  </si>
  <si>
    <t>01/10/2568</t>
  </si>
  <si>
    <t>กันยายน /September</t>
  </si>
  <si>
    <t>01/11/2568</t>
  </si>
  <si>
    <t>ตุลาคม /October</t>
  </si>
  <si>
    <t>01/12/2568</t>
  </si>
  <si>
    <t>พฤศจิกายน /November</t>
  </si>
  <si>
    <t>01/01/2569</t>
  </si>
  <si>
    <t>ธันวาคม /December</t>
  </si>
  <si>
    <t>(สนญ.) เลขที่ : 1/120  ซอยรามคำแหง 184  แขวงมีนบุรี  เขตมีนบุรี  กรุงเทพมหานคร  10510</t>
  </si>
  <si>
    <t>(เอกสารฉบับนี้ถือเป็นความลับของบริษัท/ห้ามเผยแพร่)</t>
  </si>
  <si>
    <t>ใบสรุป-เงินเดือน</t>
  </si>
  <si>
    <t>ประจำปี  2568</t>
  </si>
  <si>
    <t>Miss Chatrawee Aungkaksem</t>
  </si>
  <si>
    <t>นางสาวฉัตรรวี สังขเกษม</t>
  </si>
  <si>
    <t>660303</t>
  </si>
  <si>
    <t>3100503129503</t>
  </si>
  <si>
    <t>Sales Department</t>
  </si>
  <si>
    <t>Office</t>
  </si>
  <si>
    <t>International Sales Consultant</t>
  </si>
  <si>
    <t>วันที่เริ่มงาน</t>
  </si>
  <si>
    <t>03/03/2566</t>
  </si>
  <si>
    <t>เดือน</t>
  </si>
  <si>
    <t>Total</t>
  </si>
  <si>
    <t>อัตรา</t>
  </si>
  <si>
    <r>
      <rPr>
        <rFont val="AngsanaUPC"/>
        <b/>
        <color rgb="FFFF0000"/>
        <sz val="12.0"/>
      </rPr>
      <t>หัก</t>
    </r>
    <r>
      <rPr>
        <rFont val="AngsanaUPC"/>
        <b/>
        <color rgb="FF000000"/>
        <sz val="12.0"/>
      </rPr>
      <t xml:space="preserve"> ประกัน</t>
    </r>
  </si>
  <si>
    <t>WHT-3%</t>
  </si>
  <si>
    <t>รับ-สุทธิ</t>
  </si>
  <si>
    <t>โอนเข้าบัญชี</t>
  </si>
  <si>
    <t>หมายเหตุ</t>
  </si>
  <si>
    <t>(บาท)</t>
  </si>
  <si>
    <t>SSO</t>
  </si>
  <si>
    <t>สังคม</t>
  </si>
  <si>
    <t>จำนวนเงิน (บาท)</t>
  </si>
  <si>
    <t>วันที่</t>
  </si>
  <si>
    <t>2568</t>
  </si>
  <si>
    <t>มกราคม</t>
  </si>
  <si>
    <t>5%</t>
  </si>
  <si>
    <t>01/02/68</t>
  </si>
  <si>
    <t>กุมภาพันธ์</t>
  </si>
  <si>
    <t>01/03/68</t>
  </si>
  <si>
    <t>มีนาคม</t>
  </si>
  <si>
    <t>01/04/68</t>
  </si>
  <si>
    <t>เมษายน</t>
  </si>
  <si>
    <t>01/05/68</t>
  </si>
  <si>
    <t>พฤษภาคม</t>
  </si>
  <si>
    <t>01/06/68</t>
  </si>
  <si>
    <t>มิถุนายน</t>
  </si>
  <si>
    <t>01/07/68</t>
  </si>
  <si>
    <t>กรกฎาคม</t>
  </si>
  <si>
    <t>01/08/68</t>
  </si>
  <si>
    <t>สิงหาคม</t>
  </si>
  <si>
    <t>01/09/68</t>
  </si>
  <si>
    <t>กันยายน</t>
  </si>
  <si>
    <t>01/10/68</t>
  </si>
  <si>
    <t>ตุลาคม</t>
  </si>
  <si>
    <t>01/11/68</t>
  </si>
  <si>
    <t>พฤศจิกายน</t>
  </si>
  <si>
    <t>01/12/68</t>
  </si>
  <si>
    <t>ธันวาคม</t>
  </si>
  <si>
    <t>01/01/69</t>
  </si>
  <si>
    <t>รวม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</si>
</sst>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_-* #,##0.00_-;\-* #,##0.00_-;_-* &quot;-&quot;??_-;_-@"/>
    <numFmt numFmtId="166" formatCode="_(* #,##0.00_);_(* \(#,##0.00\);_(* &quot;-&quot;??_);_(@_)"/>
  </numFmts>
  <fonts count="20">
    <font>
      <sz val="11.0"/>
      <color theme="1"/>
      <name val="Calibri"/>
      <scheme val="minor"/>
    </font>
    <font>
      <b/>
      <i/>
      <sz val="12.0"/>
      <color theme="1"/>
      <name val="Angsana New"/>
    </font>
    <font>
      <sz val="12.0"/>
      <color theme="1"/>
      <name val="Angsana New"/>
    </font>
    <font/>
    <font>
      <b/>
      <i/>
      <u/>
      <sz val="16.0"/>
      <color theme="1"/>
      <name val="Angsana New"/>
    </font>
    <font>
      <b/>
      <i/>
      <sz val="14.0"/>
      <color theme="1"/>
      <name val="Angsana New"/>
    </font>
    <font>
      <b/>
      <sz val="14.0"/>
      <color theme="1"/>
      <name val="Angsana New"/>
    </font>
    <font>
      <b/>
      <sz val="12.0"/>
      <color theme="1"/>
      <name val="Angsana New"/>
    </font>
    <font>
      <sz val="9.0"/>
      <color theme="1"/>
      <name val="Angsana New"/>
    </font>
    <font>
      <sz val="10.0"/>
      <color theme="1"/>
      <name val="Angsana New"/>
    </font>
    <font>
      <sz val="8.0"/>
      <color theme="1"/>
      <name val="Angsana New"/>
    </font>
    <font>
      <sz val="11.0"/>
      <color theme="1"/>
      <name val="Angsana New"/>
    </font>
    <font>
      <sz val="12.0"/>
      <color theme="1"/>
      <name val="AngsanaUPC"/>
    </font>
    <font>
      <b/>
      <sz val="14.0"/>
      <color theme="1"/>
      <name val="AngsanaUPC"/>
    </font>
    <font>
      <b/>
      <i/>
      <sz val="14.0"/>
      <color theme="1"/>
      <name val="AngsanaUPC"/>
    </font>
    <font>
      <b/>
      <sz val="12.0"/>
      <color theme="1"/>
      <name val="AngsanaUPC"/>
    </font>
    <font>
      <b/>
      <sz val="11.0"/>
      <color theme="1"/>
      <name val="AngsanaUPC"/>
    </font>
    <font>
      <b/>
      <sz val="10.0"/>
      <color theme="1"/>
      <name val="AngsanaUPC"/>
    </font>
    <font>
      <sz val="11.0"/>
      <color theme="1"/>
      <name val="AngsanaUPC"/>
    </font>
    <font>
      <b/>
      <sz val="16.0"/>
      <color theme="1"/>
      <name val="AngsanaUPC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45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bottom style="hair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top style="hair">
        <color rgb="FF000000"/>
      </top>
    </border>
    <border>
      <top style="medium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3" numFmtId="0" xfId="0" applyBorder="1" applyFont="1"/>
    <xf borderId="0" fillId="0" fontId="4" numFmtId="0" xfId="0" applyAlignment="1" applyFont="1">
      <alignment horizontal="center"/>
    </xf>
    <xf borderId="0" fillId="0" fontId="5" numFmtId="0" xfId="0" applyFont="1"/>
    <xf borderId="2" fillId="0" fontId="2" numFmtId="0" xfId="0" applyBorder="1" applyFont="1"/>
    <xf borderId="3" fillId="0" fontId="2" numFmtId="0" xfId="0" applyBorder="1" applyFont="1"/>
    <xf borderId="2" fillId="0" fontId="6" numFmtId="49" xfId="0" applyAlignment="1" applyBorder="1" applyFont="1" applyNumberFormat="1">
      <alignment horizontal="left"/>
    </xf>
    <xf borderId="3" fillId="0" fontId="6" numFmtId="49" xfId="0" applyBorder="1" applyFont="1" applyNumberFormat="1"/>
    <xf borderId="4" fillId="0" fontId="2" numFmtId="0" xfId="0" applyBorder="1" applyFont="1"/>
    <xf borderId="5" fillId="0" fontId="2" numFmtId="0" xfId="0" applyAlignment="1" applyBorder="1" applyFont="1">
      <alignment horizontal="center"/>
    </xf>
    <xf borderId="0" fillId="0" fontId="2" numFmtId="49" xfId="0" applyAlignment="1" applyFont="1" applyNumberFormat="1">
      <alignment horizontal="left"/>
    </xf>
    <xf borderId="0" fillId="0" fontId="2" numFmtId="0" xfId="0" applyAlignment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6" fillId="0" fontId="2" numFmtId="49" xfId="0" applyBorder="1" applyFont="1" applyNumberFormat="1"/>
    <xf borderId="8" fillId="0" fontId="7" numFmtId="0" xfId="0" applyBorder="1" applyFont="1"/>
    <xf borderId="9" fillId="0" fontId="7" numFmtId="49" xfId="0" applyAlignment="1" applyBorder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10" fillId="0" fontId="2" numFmtId="0" xfId="0" applyBorder="1" applyFont="1"/>
    <xf borderId="11" fillId="0" fontId="2" numFmtId="0" xfId="0" applyBorder="1" applyFont="1"/>
    <xf borderId="12" fillId="0" fontId="7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7" numFmtId="0" xfId="0" applyBorder="1" applyFont="1"/>
    <xf borderId="16" fillId="0" fontId="7" numFmtId="0" xfId="0" applyAlignment="1" applyBorder="1" applyFont="1">
      <alignment horizontal="center"/>
    </xf>
    <xf borderId="17" fillId="0" fontId="2" numFmtId="0" xfId="0" applyAlignment="1" applyBorder="1" applyFont="1">
      <alignment horizontal="left"/>
    </xf>
    <xf borderId="17" fillId="0" fontId="2" numFmtId="0" xfId="0" applyBorder="1" applyFont="1"/>
    <xf borderId="18" fillId="0" fontId="1" numFmtId="0" xfId="0" applyBorder="1" applyFont="1"/>
    <xf borderId="17" fillId="0" fontId="1" numFmtId="0" xfId="0" applyBorder="1" applyFont="1"/>
    <xf borderId="18" fillId="0" fontId="2" numFmtId="0" xfId="0" applyBorder="1" applyFont="1"/>
    <xf borderId="19" fillId="0" fontId="2" numFmtId="0" xfId="0" applyBorder="1" applyFont="1"/>
    <xf borderId="13" fillId="0" fontId="2" numFmtId="0" xfId="0" applyAlignment="1" applyBorder="1" applyFont="1">
      <alignment horizontal="left"/>
    </xf>
    <xf borderId="20" fillId="0" fontId="2" numFmtId="0" xfId="0" applyBorder="1" applyFont="1"/>
    <xf borderId="14" fillId="0" fontId="1" numFmtId="0" xfId="0" applyBorder="1" applyFont="1"/>
    <xf borderId="13" fillId="0" fontId="1" numFmtId="0" xfId="0" applyBorder="1" applyFont="1"/>
    <xf borderId="15" fillId="0" fontId="2" numFmtId="0" xfId="0" applyBorder="1" applyFont="1"/>
    <xf borderId="0" fillId="0" fontId="2" numFmtId="164" xfId="0" applyAlignment="1" applyFont="1" applyNumberFormat="1">
      <alignment horizontal="center"/>
    </xf>
    <xf borderId="1" fillId="0" fontId="2" numFmtId="0" xfId="0" applyAlignment="1" applyBorder="1" applyFont="1">
      <alignment horizontal="left"/>
    </xf>
    <xf borderId="1" fillId="0" fontId="2" numFmtId="0" xfId="0" applyBorder="1" applyFont="1"/>
    <xf borderId="21" fillId="0" fontId="2" numFmtId="0" xfId="0" applyAlignment="1" applyBorder="1" applyFont="1">
      <alignment horizontal="left"/>
    </xf>
    <xf borderId="21" fillId="0" fontId="2" numFmtId="0" xfId="0" applyAlignment="1" applyBorder="1" applyFont="1">
      <alignment horizontal="center"/>
    </xf>
    <xf borderId="22" fillId="0" fontId="2" numFmtId="0" xfId="0" applyAlignment="1" applyBorder="1" applyFont="1">
      <alignment horizontal="center"/>
    </xf>
    <xf borderId="23" fillId="0" fontId="2" numFmtId="0" xfId="0" applyAlignment="1" applyBorder="1" applyFont="1">
      <alignment horizontal="left"/>
    </xf>
    <xf borderId="23" fillId="0" fontId="2" numFmtId="0" xfId="0" applyAlignment="1" applyBorder="1" applyFont="1">
      <alignment horizontal="center"/>
    </xf>
    <xf borderId="23" fillId="0" fontId="8" numFmtId="0" xfId="0" applyAlignment="1" applyBorder="1" applyFont="1">
      <alignment horizontal="center"/>
    </xf>
    <xf borderId="20" fillId="0" fontId="2" numFmtId="0" xfId="0" applyAlignment="1" applyBorder="1" applyFont="1">
      <alignment horizontal="center"/>
    </xf>
    <xf borderId="5" fillId="0" fontId="2" numFmtId="0" xfId="0" applyBorder="1" applyFont="1"/>
    <xf borderId="24" fillId="0" fontId="2" numFmtId="2" xfId="0" applyAlignment="1" applyBorder="1" applyFont="1" applyNumberFormat="1">
      <alignment readingOrder="0"/>
    </xf>
    <xf borderId="24" fillId="0" fontId="2" numFmtId="2" xfId="0" applyBorder="1" applyFont="1" applyNumberFormat="1"/>
    <xf borderId="6" fillId="0" fontId="2" numFmtId="2" xfId="0" applyBorder="1" applyFont="1" applyNumberFormat="1"/>
    <xf borderId="5" fillId="0" fontId="2" numFmtId="2" xfId="0" applyBorder="1" applyFont="1" applyNumberFormat="1"/>
    <xf borderId="4" fillId="0" fontId="2" numFmtId="165" xfId="0" applyBorder="1" applyFont="1" applyNumberFormat="1"/>
    <xf borderId="24" fillId="0" fontId="2" numFmtId="165" xfId="0" applyBorder="1" applyFont="1" applyNumberFormat="1"/>
    <xf borderId="0" fillId="0" fontId="2" numFmtId="165" xfId="0" applyFont="1" applyNumberFormat="1"/>
    <xf borderId="9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16" fillId="0" fontId="2" numFmtId="0" xfId="0" applyBorder="1" applyFont="1"/>
    <xf borderId="27" fillId="0" fontId="2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/>
    </xf>
    <xf borderId="5" fillId="0" fontId="2" numFmtId="165" xfId="0" applyAlignment="1" applyBorder="1" applyFont="1" applyNumberFormat="1">
      <alignment horizontal="center"/>
    </xf>
    <xf borderId="5" fillId="0" fontId="7" numFmtId="39" xfId="0" applyAlignment="1" applyBorder="1" applyFont="1" applyNumberFormat="1">
      <alignment horizontal="right"/>
    </xf>
    <xf borderId="5" fillId="0" fontId="2" numFmtId="39" xfId="0" applyBorder="1" applyFont="1" applyNumberFormat="1"/>
    <xf borderId="0" fillId="0" fontId="2" numFmtId="39" xfId="0" applyFont="1" applyNumberFormat="1"/>
    <xf borderId="23" fillId="0" fontId="2" numFmtId="0" xfId="0" applyBorder="1" applyFont="1"/>
    <xf borderId="21" fillId="0" fontId="11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23" fillId="0" fontId="9" numFmtId="0" xfId="0" applyAlignment="1" applyBorder="1" applyFont="1">
      <alignment horizontal="center"/>
    </xf>
    <xf borderId="4" fillId="0" fontId="8" numFmtId="0" xfId="0" applyAlignment="1" applyBorder="1" applyFont="1">
      <alignment horizontal="center"/>
    </xf>
    <xf borderId="5" fillId="0" fontId="2" numFmtId="165" xfId="0" applyBorder="1" applyFont="1" applyNumberFormat="1"/>
    <xf borderId="17" fillId="0" fontId="2" numFmtId="165" xfId="0" applyBorder="1" applyFont="1" applyNumberFormat="1"/>
    <xf borderId="4" fillId="0" fontId="2" numFmtId="39" xfId="0" applyBorder="1" applyFont="1" applyNumberFormat="1"/>
    <xf borderId="24" fillId="0" fontId="6" numFmtId="165" xfId="0" applyBorder="1" applyFont="1" applyNumberFormat="1"/>
    <xf borderId="0" fillId="0" fontId="7" numFmtId="165" xfId="0" applyFont="1" applyNumberFormat="1"/>
    <xf borderId="16" fillId="0" fontId="2" numFmtId="165" xfId="0" applyBorder="1" applyFont="1" applyNumberFormat="1"/>
    <xf borderId="16" fillId="0" fontId="2" numFmtId="39" xfId="0" applyBorder="1" applyFont="1" applyNumberFormat="1"/>
    <xf borderId="5" fillId="0" fontId="2" numFmtId="166" xfId="0" applyBorder="1" applyFont="1" applyNumberFormat="1"/>
    <xf borderId="28" fillId="0" fontId="1" numFmtId="0" xfId="0" applyAlignment="1" applyBorder="1" applyFont="1">
      <alignment horizontal="center"/>
    </xf>
    <xf borderId="28" fillId="0" fontId="3" numFmtId="0" xfId="0" applyBorder="1" applyFont="1"/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17" fillId="0" fontId="2" numFmtId="0" xfId="0" applyAlignment="1" applyBorder="1" applyFont="1">
      <alignment horizontal="left" vertical="center"/>
    </xf>
    <xf borderId="19" fillId="0" fontId="12" numFmtId="0" xfId="0" applyAlignment="1" applyBorder="1" applyFont="1">
      <alignment horizontal="center" vertical="center"/>
    </xf>
    <xf borderId="17" fillId="0" fontId="13" numFmtId="0" xfId="0" applyAlignment="1" applyBorder="1" applyFont="1">
      <alignment horizontal="left" vertical="center"/>
    </xf>
    <xf borderId="18" fillId="0" fontId="13" numFmtId="0" xfId="0" applyAlignment="1" applyBorder="1" applyFont="1">
      <alignment horizontal="left" vertical="center"/>
    </xf>
    <xf borderId="19" fillId="0" fontId="12" numFmtId="0" xfId="0" applyAlignment="1" applyBorder="1" applyFont="1">
      <alignment horizontal="left" vertical="center"/>
    </xf>
    <xf borderId="13" fillId="0" fontId="2" numFmtId="0" xfId="0" applyAlignment="1" applyBorder="1" applyFont="1">
      <alignment horizontal="left" vertical="center"/>
    </xf>
    <xf borderId="15" fillId="0" fontId="12" numFmtId="0" xfId="0" applyAlignment="1" applyBorder="1" applyFont="1">
      <alignment horizontal="center" vertical="center"/>
    </xf>
    <xf borderId="13" fillId="0" fontId="13" numFmtId="0" xfId="0" applyAlignment="1" applyBorder="1" applyFont="1">
      <alignment horizontal="left" vertical="center"/>
    </xf>
    <xf borderId="14" fillId="0" fontId="13" numFmtId="0" xfId="0" applyAlignment="1" applyBorder="1" applyFont="1">
      <alignment horizontal="left" vertical="center"/>
    </xf>
    <xf borderId="15" fillId="0" fontId="12" numFmtId="0" xfId="0" applyAlignment="1" applyBorder="1" applyFont="1">
      <alignment horizontal="left" vertical="center"/>
    </xf>
    <xf borderId="4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29" fillId="2" fontId="6" numFmtId="49" xfId="0" applyAlignment="1" applyBorder="1" applyFill="1" applyFont="1" applyNumberFormat="1">
      <alignment horizontal="left" vertical="center"/>
    </xf>
    <xf borderId="30" fillId="0" fontId="14" numFmtId="49" xfId="0" applyAlignment="1" applyBorder="1" applyFont="1" applyNumberFormat="1">
      <alignment horizontal="left" vertical="center"/>
    </xf>
    <xf borderId="0" fillId="0" fontId="15" numFmtId="0" xfId="0" applyAlignment="1" applyFont="1">
      <alignment vertical="center"/>
    </xf>
    <xf borderId="0" fillId="0" fontId="15" numFmtId="164" xfId="0" applyAlignment="1" applyFont="1" applyNumberFormat="1">
      <alignment vertical="center"/>
    </xf>
    <xf borderId="0" fillId="0" fontId="13" numFmtId="164" xfId="0" applyAlignment="1" applyFont="1" applyNumberFormat="1">
      <alignment horizontal="center" vertical="center"/>
    </xf>
    <xf borderId="2" fillId="0" fontId="2" numFmtId="0" xfId="0" applyAlignment="1" applyBorder="1" applyFont="1">
      <alignment vertical="center"/>
    </xf>
    <xf borderId="31" fillId="0" fontId="2" numFmtId="0" xfId="0" applyAlignment="1" applyBorder="1" applyFont="1">
      <alignment vertical="center"/>
    </xf>
    <xf borderId="2" fillId="0" fontId="14" numFmtId="49" xfId="0" applyAlignment="1" applyBorder="1" applyFont="1" applyNumberFormat="1">
      <alignment horizontal="left" vertical="center"/>
    </xf>
    <xf borderId="32" fillId="0" fontId="14" numFmtId="0" xfId="0" applyAlignment="1" applyBorder="1" applyFont="1">
      <alignment horizontal="left" vertical="center"/>
    </xf>
    <xf borderId="31" fillId="0" fontId="14" numFmtId="0" xfId="0" applyAlignment="1" applyBorder="1" applyFont="1">
      <alignment horizontal="left" vertical="center"/>
    </xf>
    <xf borderId="0" fillId="0" fontId="15" numFmtId="49" xfId="0" applyAlignment="1" applyFont="1" applyNumberFormat="1">
      <alignment vertical="center"/>
    </xf>
    <xf borderId="30" fillId="0" fontId="2" numFmtId="0" xfId="0" applyAlignment="1" applyBorder="1" applyFont="1">
      <alignment vertical="center"/>
    </xf>
    <xf borderId="4" fillId="0" fontId="14" numFmtId="0" xfId="0" applyAlignment="1" applyBorder="1" applyFont="1">
      <alignment horizontal="left" vertical="center"/>
    </xf>
    <xf borderId="0" fillId="0" fontId="14" numFmtId="0" xfId="0" applyAlignment="1" applyFont="1">
      <alignment horizontal="left" vertical="center"/>
    </xf>
    <xf borderId="30" fillId="0" fontId="14" numFmtId="0" xfId="0" applyAlignment="1" applyBorder="1" applyFont="1">
      <alignment horizontal="left" vertical="center"/>
    </xf>
    <xf borderId="2" fillId="0" fontId="14" numFmtId="0" xfId="0" applyAlignment="1" applyBorder="1" applyFont="1">
      <alignment horizontal="left" vertical="center"/>
    </xf>
    <xf borderId="0" fillId="0" fontId="12" numFmtId="0" xfId="0" applyAlignment="1" applyFont="1">
      <alignment horizontal="left" vertical="center"/>
    </xf>
    <xf borderId="20" fillId="0" fontId="2" numFmtId="0" xfId="0" applyAlignment="1" applyBorder="1" applyFont="1">
      <alignment vertical="center"/>
    </xf>
    <xf borderId="33" fillId="0" fontId="2" numFmtId="0" xfId="0" applyAlignment="1" applyBorder="1" applyFont="1">
      <alignment vertical="center"/>
    </xf>
    <xf borderId="20" fillId="0" fontId="14" numFmtId="49" xfId="0" applyAlignment="1" applyBorder="1" applyFont="1" applyNumberFormat="1">
      <alignment horizontal="left" vertical="center"/>
    </xf>
    <xf borderId="1" fillId="0" fontId="14" numFmtId="0" xfId="0" applyAlignment="1" applyBorder="1" applyFont="1">
      <alignment horizontal="left" vertical="center"/>
    </xf>
    <xf borderId="33" fillId="0" fontId="14" numFmtId="0" xfId="0" applyAlignment="1" applyBorder="1" applyFont="1">
      <alignment horizontal="left" vertical="center"/>
    </xf>
    <xf borderId="34" fillId="0" fontId="16" numFmtId="49" xfId="0" applyAlignment="1" applyBorder="1" applyFont="1" applyNumberFormat="1">
      <alignment horizontal="center" vertical="center"/>
    </xf>
    <xf borderId="35" fillId="0" fontId="16" numFmtId="0" xfId="0" applyAlignment="1" applyBorder="1" applyFont="1">
      <alignment horizontal="center" vertical="center"/>
    </xf>
    <xf borderId="34" fillId="0" fontId="2" numFmtId="0" xfId="0" applyAlignment="1" applyBorder="1" applyFont="1">
      <alignment horizontal="center" vertical="center"/>
    </xf>
    <xf borderId="36" fillId="0" fontId="15" numFmtId="0" xfId="0" applyAlignment="1" applyBorder="1" applyFont="1">
      <alignment horizontal="center" vertical="center"/>
    </xf>
    <xf borderId="34" fillId="0" fontId="15" numFmtId="0" xfId="0" applyAlignment="1" applyBorder="1" applyFont="1">
      <alignment horizontal="center" vertical="center"/>
    </xf>
    <xf borderId="37" fillId="0" fontId="12" numFmtId="0" xfId="0" applyAlignment="1" applyBorder="1" applyFont="1">
      <alignment horizontal="center" vertical="center"/>
    </xf>
    <xf borderId="38" fillId="0" fontId="3" numFmtId="0" xfId="0" applyBorder="1" applyFont="1"/>
    <xf borderId="34" fillId="0" fontId="12" numFmtId="0" xfId="0" applyAlignment="1" applyBorder="1" applyFont="1">
      <alignment horizontal="center" vertical="center"/>
    </xf>
    <xf borderId="39" fillId="0" fontId="16" numFmtId="49" xfId="0" applyAlignment="1" applyBorder="1" applyFont="1" applyNumberFormat="1">
      <alignment horizontal="center" vertical="center"/>
    </xf>
    <xf borderId="40" fillId="0" fontId="16" numFmtId="0" xfId="0" applyAlignment="1" applyBorder="1" applyFont="1">
      <alignment horizontal="center" vertical="center"/>
    </xf>
    <xf borderId="39" fillId="0" fontId="2" numFmtId="0" xfId="0" applyAlignment="1" applyBorder="1" applyFont="1">
      <alignment horizontal="center" vertical="center"/>
    </xf>
    <xf borderId="39" fillId="0" fontId="8" numFmtId="0" xfId="0" applyAlignment="1" applyBorder="1" applyFont="1">
      <alignment horizontal="center" vertical="center"/>
    </xf>
    <xf borderId="41" fillId="0" fontId="16" numFmtId="0" xfId="0" applyAlignment="1" applyBorder="1" applyFont="1">
      <alignment horizontal="center" vertical="center"/>
    </xf>
    <xf borderId="39" fillId="0" fontId="16" numFmtId="0" xfId="0" applyAlignment="1" applyBorder="1" applyFont="1">
      <alignment horizontal="center" vertical="center"/>
    </xf>
    <xf borderId="39" fillId="0" fontId="15" numFmtId="0" xfId="0" applyAlignment="1" applyBorder="1" applyFont="1">
      <alignment horizontal="center" vertical="center"/>
    </xf>
    <xf borderId="39" fillId="0" fontId="17" numFmtId="0" xfId="0" applyAlignment="1" applyBorder="1" applyFont="1">
      <alignment horizontal="center" vertical="center"/>
    </xf>
    <xf borderId="39" fillId="0" fontId="18" numFmtId="0" xfId="0" applyAlignment="1" applyBorder="1" applyFont="1">
      <alignment horizontal="center" vertical="center"/>
    </xf>
    <xf borderId="39" fillId="0" fontId="12" numFmtId="0" xfId="0" applyAlignment="1" applyBorder="1" applyFont="1">
      <alignment horizontal="center" vertical="center"/>
    </xf>
    <xf borderId="42" fillId="0" fontId="19" numFmtId="49" xfId="0" applyAlignment="1" applyBorder="1" applyFont="1" applyNumberFormat="1">
      <alignment horizontal="center" vertical="center"/>
    </xf>
    <xf borderId="42" fillId="0" fontId="12" numFmtId="4" xfId="0" applyAlignment="1" applyBorder="1" applyFont="1" applyNumberFormat="1">
      <alignment vertical="center"/>
    </xf>
    <xf borderId="42" fillId="0" fontId="12" numFmtId="39" xfId="0" applyAlignment="1" applyBorder="1" applyFont="1" applyNumberFormat="1">
      <alignment vertical="center"/>
    </xf>
    <xf borderId="42" fillId="0" fontId="15" numFmtId="4" xfId="0" applyAlignment="1" applyBorder="1" applyFont="1" applyNumberFormat="1">
      <alignment vertical="center"/>
    </xf>
    <xf borderId="42" fillId="0" fontId="12" numFmtId="0" xfId="0" applyAlignment="1" applyBorder="1" applyFont="1">
      <alignment horizontal="center" vertical="center"/>
    </xf>
    <xf borderId="42" fillId="0" fontId="12" numFmtId="0" xfId="0" applyAlignment="1" applyBorder="1" applyFont="1">
      <alignment vertical="center"/>
    </xf>
    <xf borderId="42" fillId="0" fontId="15" numFmtId="49" xfId="0" applyAlignment="1" applyBorder="1" applyFont="1" applyNumberFormat="1">
      <alignment horizontal="center" vertical="center"/>
    </xf>
    <xf borderId="29" fillId="0" fontId="12" numFmtId="4" xfId="0" applyAlignment="1" applyBorder="1" applyFont="1" applyNumberFormat="1">
      <alignment vertical="center"/>
    </xf>
    <xf borderId="29" fillId="0" fontId="15" numFmtId="39" xfId="0" applyAlignment="1" applyBorder="1" applyFont="1" applyNumberFormat="1">
      <alignment vertical="center"/>
    </xf>
    <xf borderId="29" fillId="0" fontId="15" numFmtId="49" xfId="0" applyAlignment="1" applyBorder="1" applyFont="1" applyNumberFormat="1">
      <alignment horizontal="center" vertical="center"/>
    </xf>
    <xf borderId="43" fillId="0" fontId="15" numFmtId="49" xfId="0" applyAlignment="1" applyBorder="1" applyFont="1" applyNumberFormat="1">
      <alignment horizontal="center" vertical="center"/>
    </xf>
    <xf borderId="43" fillId="0" fontId="15" numFmtId="4" xfId="0" applyAlignment="1" applyBorder="1" applyFont="1" applyNumberFormat="1">
      <alignment vertical="center"/>
    </xf>
    <xf borderId="43" fillId="0" fontId="15" numFmtId="165" xfId="0" applyAlignment="1" applyBorder="1" applyFont="1" applyNumberFormat="1">
      <alignment vertical="center"/>
    </xf>
    <xf borderId="43" fillId="0" fontId="15" numFmtId="39" xfId="0" applyAlignment="1" applyBorder="1" applyFont="1" applyNumberFormat="1">
      <alignment vertical="center"/>
    </xf>
    <xf borderId="43" fillId="0" fontId="15" numFmtId="0" xfId="0" applyAlignment="1" applyBorder="1" applyFont="1">
      <alignment horizontal="center" vertical="center"/>
    </xf>
    <xf borderId="44" fillId="0" fontId="15" numFmtId="0" xfId="0" applyAlignment="1" applyBorder="1" applyFont="1">
      <alignment horizontal="center" vertical="center"/>
    </xf>
    <xf borderId="39" fillId="0" fontId="13" numFmtId="4" xfId="0" applyAlignment="1" applyBorder="1" applyFont="1" applyNumberFormat="1">
      <alignment vertical="center"/>
    </xf>
    <xf borderId="39" fillId="0" fontId="13" numFmtId="39" xfId="0" applyAlignment="1" applyBorder="1" applyFont="1" applyNumberFormat="1">
      <alignment vertical="center"/>
    </xf>
    <xf borderId="39" fillId="0" fontId="15" numFmtId="4" xfId="0" applyAlignment="1" applyBorder="1" applyFont="1" applyNumberFormat="1">
      <alignment vertical="center"/>
    </xf>
    <xf borderId="39" fillId="0" fontId="1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4" width="12.71"/>
    <col customWidth="1" min="5" max="5" width="11.29"/>
    <col customWidth="1" min="6" max="6" width="11.71"/>
    <col customWidth="1" min="7" max="7" width="12.71"/>
    <col customWidth="1" min="8" max="8" width="2.29"/>
    <col customWidth="1" min="9" max="9" width="18.29"/>
    <col customWidth="1" min="10" max="10" width="13.43"/>
    <col customWidth="1" min="11" max="11" width="15.14"/>
    <col customWidth="1" min="12" max="12" width="10.43"/>
    <col customWidth="1" min="13" max="26" width="9.0"/>
  </cols>
  <sheetData>
    <row r="1" ht="18.0" customHeight="1">
      <c r="A1" s="1" t="s">
        <v>0</v>
      </c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1" t="s">
        <v>1</v>
      </c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9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6" t="s">
        <v>3</v>
      </c>
      <c r="J5" s="7"/>
      <c r="K5" s="7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0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3"/>
      <c r="B7" s="3"/>
      <c r="C7" s="3"/>
      <c r="D7" s="8" t="s">
        <v>4</v>
      </c>
      <c r="E7" s="9"/>
      <c r="F7" s="10" t="str">
        <f>+'ใบสรุป-68'!C6</f>
        <v>660303</v>
      </c>
      <c r="G7" s="11" t="str">
        <f>+'ใบสรุป-68'!D6</f>
        <v>3100503129503</v>
      </c>
      <c r="H7" s="12"/>
      <c r="I7" s="13" t="s">
        <v>5</v>
      </c>
      <c r="J7" s="14"/>
      <c r="K7" s="1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3"/>
      <c r="B8" s="3"/>
      <c r="C8" s="3"/>
      <c r="D8" s="16" t="s">
        <v>6</v>
      </c>
      <c r="E8" s="17"/>
      <c r="F8" s="18" t="str">
        <f>+'ใบสรุป-68'!C7</f>
        <v>Sales Department</v>
      </c>
      <c r="G8" s="19"/>
      <c r="H8" s="12"/>
      <c r="I8" s="20" t="s">
        <v>7</v>
      </c>
      <c r="J8" s="3"/>
      <c r="K8" s="2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3"/>
      <c r="B9" s="3"/>
      <c r="C9" s="3"/>
      <c r="D9" s="22" t="s">
        <v>8</v>
      </c>
      <c r="E9" s="23"/>
      <c r="F9" s="22" t="str">
        <f>+'ใบสรุป-68'!C8</f>
        <v>Office</v>
      </c>
      <c r="G9" s="24"/>
      <c r="H9" s="12"/>
      <c r="I9" s="13" t="s">
        <v>9</v>
      </c>
      <c r="J9" s="3"/>
      <c r="K9" s="1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3"/>
      <c r="B10" s="3"/>
      <c r="C10" s="3"/>
      <c r="D10" s="25" t="s">
        <v>10</v>
      </c>
      <c r="E10" s="26"/>
      <c r="F10" s="25" t="str">
        <f>+'ใบสรุป-68'!C9</f>
        <v>International Sales Consultant</v>
      </c>
      <c r="G10" s="27"/>
      <c r="H10" s="12"/>
      <c r="I10" s="28" t="s">
        <v>11</v>
      </c>
      <c r="J10" s="3"/>
      <c r="K10" s="15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29" t="s">
        <v>12</v>
      </c>
      <c r="B11" s="30" t="str">
        <f>+'ใบสรุป-68'!C4</f>
        <v>Miss Chatrawee Aungkaksem</v>
      </c>
      <c r="C11" s="31"/>
      <c r="D11" s="32"/>
      <c r="E11" s="33"/>
      <c r="F11" s="30"/>
      <c r="G11" s="34"/>
      <c r="H11" s="12"/>
      <c r="I11" s="3"/>
      <c r="J11" s="3"/>
      <c r="K11" s="15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35" t="s">
        <v>13</v>
      </c>
      <c r="B12" s="36" t="str">
        <f>+'ใบสรุป-68'!C5</f>
        <v>นางสาวฉัตรรวี สังขเกษม</v>
      </c>
      <c r="C12" s="37"/>
      <c r="D12" s="38"/>
      <c r="E12" s="37"/>
      <c r="F12" s="25"/>
      <c r="G12" s="39"/>
      <c r="H12" s="12"/>
      <c r="I12" s="3"/>
      <c r="J12" s="3"/>
      <c r="K12" s="40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41"/>
      <c r="B13" s="42"/>
      <c r="C13" s="3"/>
      <c r="D13" s="3"/>
      <c r="E13" s="3"/>
      <c r="F13" s="3"/>
      <c r="G13" s="3"/>
      <c r="H13" s="3"/>
      <c r="I13" s="3"/>
      <c r="J13" s="3"/>
      <c r="K13" s="1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43" t="s">
        <v>14</v>
      </c>
      <c r="B14" s="44" t="s">
        <v>15</v>
      </c>
      <c r="C14" s="44" t="s">
        <v>16</v>
      </c>
      <c r="D14" s="44" t="s">
        <v>17</v>
      </c>
      <c r="E14" s="45" t="s">
        <v>18</v>
      </c>
      <c r="F14" s="44" t="s">
        <v>19</v>
      </c>
      <c r="G14" s="44" t="s">
        <v>19</v>
      </c>
      <c r="H14" s="12"/>
      <c r="I14" s="44" t="s">
        <v>20</v>
      </c>
      <c r="J14" s="3"/>
      <c r="K14" s="1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46" t="s">
        <v>21</v>
      </c>
      <c r="B15" s="47" t="s">
        <v>22</v>
      </c>
      <c r="C15" s="47" t="s">
        <v>23</v>
      </c>
      <c r="D15" s="48"/>
      <c r="E15" s="49" t="s">
        <v>24</v>
      </c>
      <c r="F15" s="47" t="s">
        <v>25</v>
      </c>
      <c r="G15" s="47" t="s">
        <v>25</v>
      </c>
      <c r="H15" s="12"/>
      <c r="I15" s="47" t="s">
        <v>26</v>
      </c>
      <c r="J15" s="3"/>
      <c r="K15" s="1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50"/>
      <c r="B16" s="51">
        <f>30250+750</f>
        <v>31000</v>
      </c>
      <c r="C16" s="52"/>
      <c r="D16" s="52"/>
      <c r="E16" s="53"/>
      <c r="F16" s="54">
        <v>0.0</v>
      </c>
      <c r="G16" s="54">
        <v>0.0</v>
      </c>
      <c r="H16" s="55"/>
      <c r="I16" s="56">
        <f>SUM(B16+C16+D16+E16+F16+G16)</f>
        <v>31000</v>
      </c>
      <c r="J16" s="3"/>
      <c r="K16" s="5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58"/>
      <c r="B17" s="59"/>
      <c r="C17" s="59"/>
      <c r="D17" s="59"/>
      <c r="E17" s="60"/>
      <c r="F17" s="61"/>
      <c r="G17" s="61"/>
      <c r="H17" s="12"/>
      <c r="I17" s="5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43" t="s">
        <v>27</v>
      </c>
      <c r="B18" s="44" t="s">
        <v>28</v>
      </c>
      <c r="C18" s="44" t="s">
        <v>29</v>
      </c>
      <c r="D18" s="44" t="s">
        <v>30</v>
      </c>
      <c r="E18" s="44" t="s">
        <v>19</v>
      </c>
      <c r="F18" s="62"/>
      <c r="G18" s="62"/>
      <c r="H18" s="15"/>
      <c r="I18" s="44" t="s">
        <v>31</v>
      </c>
      <c r="J18" s="15"/>
      <c r="K18" s="1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46" t="s">
        <v>32</v>
      </c>
      <c r="B19" s="47" t="s">
        <v>33</v>
      </c>
      <c r="C19" s="47" t="s">
        <v>34</v>
      </c>
      <c r="D19" s="47" t="s">
        <v>25</v>
      </c>
      <c r="E19" s="47" t="s">
        <v>25</v>
      </c>
      <c r="F19" s="63"/>
      <c r="G19" s="64"/>
      <c r="H19" s="63"/>
      <c r="I19" s="47" t="s">
        <v>35</v>
      </c>
      <c r="J19" s="63"/>
      <c r="K19" s="15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65"/>
      <c r="B20" s="54"/>
      <c r="C20" s="66">
        <v>750.0</v>
      </c>
      <c r="D20" s="54">
        <v>0.0</v>
      </c>
      <c r="E20" s="54">
        <v>0.0</v>
      </c>
      <c r="F20" s="57"/>
      <c r="G20" s="57"/>
      <c r="H20" s="57"/>
      <c r="I20" s="67">
        <f>+B20+C20+D20+E20</f>
        <v>750</v>
      </c>
      <c r="J20" s="57"/>
      <c r="K20" s="6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69"/>
      <c r="B21" s="69"/>
      <c r="C21" s="61"/>
      <c r="D21" s="61"/>
      <c r="E21" s="61"/>
      <c r="F21" s="3"/>
      <c r="G21" s="3"/>
      <c r="H21" s="3"/>
      <c r="I21" s="5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43" t="s">
        <v>36</v>
      </c>
      <c r="B22" s="44" t="s">
        <v>37</v>
      </c>
      <c r="C22" s="70" t="s">
        <v>38</v>
      </c>
      <c r="D22" s="44" t="s">
        <v>39</v>
      </c>
      <c r="E22" s="71" t="s">
        <v>40</v>
      </c>
      <c r="F22" s="72"/>
      <c r="G22" s="15"/>
      <c r="H22" s="3"/>
      <c r="I22" s="44" t="s">
        <v>41</v>
      </c>
      <c r="J22" s="3"/>
      <c r="K22" s="1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46" t="s">
        <v>42</v>
      </c>
      <c r="B23" s="73" t="s">
        <v>43</v>
      </c>
      <c r="C23" s="48" t="s">
        <v>44</v>
      </c>
      <c r="D23" s="48" t="s">
        <v>45</v>
      </c>
      <c r="E23" s="47" t="s">
        <v>46</v>
      </c>
      <c r="F23" s="74"/>
      <c r="G23" s="63"/>
      <c r="H23" s="3"/>
      <c r="I23" s="47" t="s">
        <v>47</v>
      </c>
      <c r="J23" s="3"/>
      <c r="K23" s="15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50"/>
      <c r="B24" s="75">
        <f>I16</f>
        <v>31000</v>
      </c>
      <c r="C24" s="75">
        <f>C20</f>
        <v>750</v>
      </c>
      <c r="D24" s="76" t="str">
        <f>B20</f>
        <v/>
      </c>
      <c r="E24" s="67">
        <f>F16+G16+D20+E20</f>
        <v>0</v>
      </c>
      <c r="F24" s="77"/>
      <c r="G24" s="3"/>
      <c r="H24" s="3"/>
      <c r="I24" s="78">
        <f>+I16-I20</f>
        <v>30250</v>
      </c>
      <c r="J24" s="3"/>
      <c r="K24" s="79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69"/>
      <c r="B25" s="80"/>
      <c r="C25" s="81"/>
      <c r="D25" s="25"/>
      <c r="E25" s="61"/>
      <c r="F25" s="12"/>
      <c r="G25" s="3"/>
      <c r="H25" s="3"/>
      <c r="I25" s="6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I1"/>
    <mergeCell ref="A2:I2"/>
    <mergeCell ref="A3:I3"/>
    <mergeCell ref="A5:I5"/>
  </mergeCells>
  <printOptions/>
  <pageMargins bottom="0.0" footer="0.0" header="0.0" left="0.5649606299212598" right="0.0" top="0.3937007874015748"/>
  <pageSetup paperSize="9" scale="9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4" width="12.71"/>
    <col customWidth="1" min="5" max="5" width="11.29"/>
    <col customWidth="1" min="6" max="6" width="11.71"/>
    <col customWidth="1" min="7" max="7" width="12.71"/>
    <col customWidth="1" min="8" max="8" width="2.29"/>
    <col customWidth="1" min="9" max="9" width="18.29"/>
    <col customWidth="1" min="10" max="10" width="13.43"/>
    <col customWidth="1" min="11" max="11" width="15.14"/>
    <col customWidth="1" min="12" max="12" width="10.43"/>
    <col customWidth="1" min="13" max="26" width="9.0"/>
  </cols>
  <sheetData>
    <row r="1" ht="18.0" customHeight="1">
      <c r="A1" s="1" t="s">
        <v>0</v>
      </c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1" t="s">
        <v>1</v>
      </c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9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6" t="s">
        <v>3</v>
      </c>
      <c r="J5" s="7"/>
      <c r="K5" s="7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0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3"/>
      <c r="B7" s="3"/>
      <c r="C7" s="3"/>
      <c r="D7" s="8" t="s">
        <v>4</v>
      </c>
      <c r="E7" s="9"/>
      <c r="F7" s="10" t="str">
        <f>+'ใบสรุป-68'!C6</f>
        <v>660303</v>
      </c>
      <c r="G7" s="11" t="str">
        <f>+'ใบสรุป-68'!D6</f>
        <v>3100503129503</v>
      </c>
      <c r="H7" s="12"/>
      <c r="I7" s="13" t="s">
        <v>5</v>
      </c>
      <c r="J7" s="14"/>
      <c r="K7" s="1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3"/>
      <c r="B8" s="3"/>
      <c r="C8" s="3"/>
      <c r="D8" s="16" t="s">
        <v>6</v>
      </c>
      <c r="E8" s="17"/>
      <c r="F8" s="18" t="str">
        <f>+'ใบสรุป-68'!C7</f>
        <v>Sales Department</v>
      </c>
      <c r="G8" s="19"/>
      <c r="H8" s="12"/>
      <c r="I8" s="20" t="s">
        <v>48</v>
      </c>
      <c r="J8" s="3"/>
      <c r="K8" s="2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3"/>
      <c r="B9" s="3"/>
      <c r="C9" s="3"/>
      <c r="D9" s="22" t="s">
        <v>8</v>
      </c>
      <c r="E9" s="23"/>
      <c r="F9" s="22" t="str">
        <f>+'ใบสรุป-68'!C8</f>
        <v>Office</v>
      </c>
      <c r="G9" s="24"/>
      <c r="H9" s="12"/>
      <c r="I9" s="13" t="s">
        <v>9</v>
      </c>
      <c r="J9" s="3"/>
      <c r="K9" s="1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3"/>
      <c r="B10" s="3"/>
      <c r="C10" s="3"/>
      <c r="D10" s="25" t="s">
        <v>10</v>
      </c>
      <c r="E10" s="26"/>
      <c r="F10" s="25" t="str">
        <f>+'ใบสรุป-68'!C9</f>
        <v>International Sales Consultant</v>
      </c>
      <c r="G10" s="27"/>
      <c r="H10" s="12"/>
      <c r="I10" s="28" t="s">
        <v>49</v>
      </c>
      <c r="J10" s="3"/>
      <c r="K10" s="15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29" t="s">
        <v>12</v>
      </c>
      <c r="B11" s="30" t="str">
        <f>+'ใบสรุป-68'!C4</f>
        <v>Miss Chatrawee Aungkaksem</v>
      </c>
      <c r="C11" s="31"/>
      <c r="D11" s="32"/>
      <c r="E11" s="33"/>
      <c r="F11" s="30"/>
      <c r="G11" s="34"/>
      <c r="H11" s="12"/>
      <c r="I11" s="3"/>
      <c r="J11" s="3"/>
      <c r="K11" s="15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35" t="s">
        <v>13</v>
      </c>
      <c r="B12" s="36" t="str">
        <f>+'ใบสรุป-68'!C5</f>
        <v>นางสาวฉัตรรวี สังขเกษม</v>
      </c>
      <c r="C12" s="37"/>
      <c r="D12" s="38"/>
      <c r="E12" s="37"/>
      <c r="F12" s="25"/>
      <c r="G12" s="39"/>
      <c r="H12" s="12"/>
      <c r="I12" s="3"/>
      <c r="J12" s="3"/>
      <c r="K12" s="40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41"/>
      <c r="B13" s="42"/>
      <c r="C13" s="3"/>
      <c r="D13" s="3"/>
      <c r="E13" s="3"/>
      <c r="F13" s="3"/>
      <c r="G13" s="3"/>
      <c r="H13" s="3"/>
      <c r="I13" s="3"/>
      <c r="J13" s="3"/>
      <c r="K13" s="1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43" t="s">
        <v>14</v>
      </c>
      <c r="B14" s="44" t="s">
        <v>15</v>
      </c>
      <c r="C14" s="44" t="s">
        <v>16</v>
      </c>
      <c r="D14" s="44" t="s">
        <v>17</v>
      </c>
      <c r="E14" s="45" t="s">
        <v>18</v>
      </c>
      <c r="F14" s="44" t="s">
        <v>19</v>
      </c>
      <c r="G14" s="44" t="s">
        <v>19</v>
      </c>
      <c r="H14" s="12"/>
      <c r="I14" s="44" t="s">
        <v>20</v>
      </c>
      <c r="J14" s="3"/>
      <c r="K14" s="1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46" t="s">
        <v>21</v>
      </c>
      <c r="B15" s="47" t="s">
        <v>22</v>
      </c>
      <c r="C15" s="47" t="s">
        <v>23</v>
      </c>
      <c r="D15" s="48"/>
      <c r="E15" s="49" t="s">
        <v>24</v>
      </c>
      <c r="F15" s="47" t="s">
        <v>25</v>
      </c>
      <c r="G15" s="47" t="s">
        <v>25</v>
      </c>
      <c r="H15" s="12"/>
      <c r="I15" s="47" t="s">
        <v>26</v>
      </c>
      <c r="J15" s="3"/>
      <c r="K15" s="1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50"/>
      <c r="B16" s="51">
        <f>30250+750</f>
        <v>31000</v>
      </c>
      <c r="C16" s="52"/>
      <c r="D16" s="52"/>
      <c r="E16" s="53"/>
      <c r="F16" s="54">
        <v>0.0</v>
      </c>
      <c r="G16" s="54">
        <v>0.0</v>
      </c>
      <c r="H16" s="55"/>
      <c r="I16" s="56">
        <f>SUM(B16+C16+D16+E16+F16+G16)</f>
        <v>31000</v>
      </c>
      <c r="J16" s="3"/>
      <c r="K16" s="5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58"/>
      <c r="B17" s="59"/>
      <c r="C17" s="59"/>
      <c r="D17" s="59"/>
      <c r="E17" s="60"/>
      <c r="F17" s="61"/>
      <c r="G17" s="61"/>
      <c r="H17" s="12"/>
      <c r="I17" s="5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43" t="s">
        <v>27</v>
      </c>
      <c r="B18" s="44" t="s">
        <v>28</v>
      </c>
      <c r="C18" s="44" t="s">
        <v>29</v>
      </c>
      <c r="D18" s="44" t="s">
        <v>30</v>
      </c>
      <c r="E18" s="44" t="s">
        <v>19</v>
      </c>
      <c r="F18" s="62"/>
      <c r="G18" s="62"/>
      <c r="H18" s="15"/>
      <c r="I18" s="44" t="s">
        <v>31</v>
      </c>
      <c r="J18" s="15"/>
      <c r="K18" s="1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46" t="s">
        <v>32</v>
      </c>
      <c r="B19" s="47" t="s">
        <v>33</v>
      </c>
      <c r="C19" s="47" t="s">
        <v>34</v>
      </c>
      <c r="D19" s="47" t="s">
        <v>25</v>
      </c>
      <c r="E19" s="47" t="s">
        <v>25</v>
      </c>
      <c r="F19" s="63"/>
      <c r="G19" s="64"/>
      <c r="H19" s="63"/>
      <c r="I19" s="47" t="s">
        <v>35</v>
      </c>
      <c r="J19" s="63"/>
      <c r="K19" s="15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65"/>
      <c r="B20" s="54"/>
      <c r="C20" s="66">
        <v>750.0</v>
      </c>
      <c r="D20" s="54">
        <v>0.0</v>
      </c>
      <c r="E20" s="54">
        <v>0.0</v>
      </c>
      <c r="F20" s="57"/>
      <c r="G20" s="57"/>
      <c r="H20" s="57"/>
      <c r="I20" s="67">
        <f>+B20+C20+D20+E20</f>
        <v>750</v>
      </c>
      <c r="J20" s="57"/>
      <c r="K20" s="6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69"/>
      <c r="B21" s="69"/>
      <c r="C21" s="61"/>
      <c r="D21" s="61"/>
      <c r="E21" s="61"/>
      <c r="F21" s="3"/>
      <c r="G21" s="3"/>
      <c r="H21" s="3"/>
      <c r="I21" s="5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43" t="s">
        <v>36</v>
      </c>
      <c r="B22" s="44" t="s">
        <v>37</v>
      </c>
      <c r="C22" s="70" t="s">
        <v>38</v>
      </c>
      <c r="D22" s="44" t="s">
        <v>39</v>
      </c>
      <c r="E22" s="71" t="s">
        <v>40</v>
      </c>
      <c r="F22" s="72"/>
      <c r="G22" s="15"/>
      <c r="H22" s="3"/>
      <c r="I22" s="44" t="s">
        <v>41</v>
      </c>
      <c r="J22" s="3"/>
      <c r="K22" s="1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46" t="s">
        <v>42</v>
      </c>
      <c r="B23" s="73" t="s">
        <v>43</v>
      </c>
      <c r="C23" s="48" t="s">
        <v>44</v>
      </c>
      <c r="D23" s="48" t="s">
        <v>45</v>
      </c>
      <c r="E23" s="47" t="s">
        <v>46</v>
      </c>
      <c r="F23" s="74"/>
      <c r="G23" s="63"/>
      <c r="H23" s="3"/>
      <c r="I23" s="47" t="s">
        <v>47</v>
      </c>
      <c r="J23" s="3"/>
      <c r="K23" s="15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50"/>
      <c r="B24" s="75">
        <f>I16+'68-jan'!B24</f>
        <v>62000</v>
      </c>
      <c r="C24" s="67">
        <f>C20+'68-jan'!C24</f>
        <v>1500</v>
      </c>
      <c r="D24" s="76">
        <f>B20+'68-jan'!D24</f>
        <v>0</v>
      </c>
      <c r="E24" s="67"/>
      <c r="F24" s="77"/>
      <c r="G24" s="3"/>
      <c r="H24" s="3"/>
      <c r="I24" s="78">
        <f>I16-I20</f>
        <v>30250</v>
      </c>
      <c r="J24" s="3"/>
      <c r="K24" s="79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69"/>
      <c r="B25" s="80"/>
      <c r="C25" s="81"/>
      <c r="D25" s="25"/>
      <c r="E25" s="61"/>
      <c r="F25" s="12"/>
      <c r="G25" s="3"/>
      <c r="H25" s="3"/>
      <c r="I25" s="6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I1"/>
    <mergeCell ref="A2:I2"/>
    <mergeCell ref="A3:I3"/>
    <mergeCell ref="A5:I5"/>
  </mergeCells>
  <printOptions/>
  <pageMargins bottom="0.1968503937007874" footer="0.0" header="0.0" left="0.5511811023622047" right="0.07874015748031496" top="0.1968503937007874"/>
  <pageSetup paperSize="9" scale="9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4" width="12.71"/>
    <col customWidth="1" min="5" max="5" width="11.29"/>
    <col customWidth="1" min="6" max="6" width="11.71"/>
    <col customWidth="1" min="7" max="7" width="12.71"/>
    <col customWidth="1" min="8" max="8" width="2.29"/>
    <col customWidth="1" min="9" max="9" width="18.29"/>
    <col customWidth="1" min="10" max="10" width="13.43"/>
    <col customWidth="1" min="11" max="11" width="15.14"/>
    <col customWidth="1" min="12" max="12" width="10.43"/>
    <col customWidth="1" min="13" max="26" width="9.0"/>
  </cols>
  <sheetData>
    <row r="1" ht="18.0" customHeight="1">
      <c r="A1" s="1" t="s">
        <v>0</v>
      </c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1" t="s">
        <v>1</v>
      </c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9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6" t="s">
        <v>3</v>
      </c>
      <c r="J5" s="7"/>
      <c r="K5" s="7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0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3"/>
      <c r="B7" s="3"/>
      <c r="C7" s="3"/>
      <c r="D7" s="8" t="s">
        <v>4</v>
      </c>
      <c r="E7" s="9"/>
      <c r="F7" s="10" t="str">
        <f>+'ใบสรุป-68'!C6</f>
        <v>660303</v>
      </c>
      <c r="G7" s="11" t="str">
        <f>+'ใบสรุป-68'!D6</f>
        <v>3100503129503</v>
      </c>
      <c r="H7" s="12"/>
      <c r="I7" s="13" t="s">
        <v>5</v>
      </c>
      <c r="J7" s="14"/>
      <c r="K7" s="1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3"/>
      <c r="B8" s="3"/>
      <c r="C8" s="3"/>
      <c r="D8" s="16" t="s">
        <v>6</v>
      </c>
      <c r="E8" s="17"/>
      <c r="F8" s="18" t="str">
        <f>+'ใบสรุป-68'!C7</f>
        <v>Sales Department</v>
      </c>
      <c r="G8" s="19"/>
      <c r="H8" s="12"/>
      <c r="I8" s="20" t="s">
        <v>50</v>
      </c>
      <c r="J8" s="3"/>
      <c r="K8" s="2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3"/>
      <c r="B9" s="3"/>
      <c r="C9" s="3"/>
      <c r="D9" s="22" t="s">
        <v>8</v>
      </c>
      <c r="E9" s="23"/>
      <c r="F9" s="22" t="str">
        <f>+'ใบสรุป-68'!C8</f>
        <v>Office</v>
      </c>
      <c r="G9" s="24"/>
      <c r="H9" s="12"/>
      <c r="I9" s="13" t="s">
        <v>9</v>
      </c>
      <c r="J9" s="3"/>
      <c r="K9" s="1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3"/>
      <c r="B10" s="3"/>
      <c r="C10" s="3"/>
      <c r="D10" s="25" t="s">
        <v>10</v>
      </c>
      <c r="E10" s="26"/>
      <c r="F10" s="25" t="str">
        <f>+'ใบสรุป-68'!C9</f>
        <v>International Sales Consultant</v>
      </c>
      <c r="G10" s="27"/>
      <c r="H10" s="12"/>
      <c r="I10" s="28" t="s">
        <v>51</v>
      </c>
      <c r="J10" s="3"/>
      <c r="K10" s="15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29" t="s">
        <v>12</v>
      </c>
      <c r="B11" s="30" t="str">
        <f>+'ใบสรุป-68'!C4</f>
        <v>Miss Chatrawee Aungkaksem</v>
      </c>
      <c r="C11" s="31"/>
      <c r="D11" s="32"/>
      <c r="E11" s="33"/>
      <c r="F11" s="30"/>
      <c r="G11" s="34"/>
      <c r="H11" s="12"/>
      <c r="I11" s="3"/>
      <c r="J11" s="3"/>
      <c r="K11" s="15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35" t="s">
        <v>13</v>
      </c>
      <c r="B12" s="36" t="str">
        <f>+'ใบสรุป-68'!C5</f>
        <v>นางสาวฉัตรรวี สังขเกษม</v>
      </c>
      <c r="C12" s="37"/>
      <c r="D12" s="38"/>
      <c r="E12" s="37"/>
      <c r="F12" s="25"/>
      <c r="G12" s="39"/>
      <c r="H12" s="12"/>
      <c r="I12" s="3"/>
      <c r="J12" s="3"/>
      <c r="K12" s="40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41"/>
      <c r="B13" s="42"/>
      <c r="C13" s="3"/>
      <c r="D13" s="3"/>
      <c r="E13" s="3"/>
      <c r="F13" s="3"/>
      <c r="G13" s="3"/>
      <c r="H13" s="3"/>
      <c r="I13" s="3"/>
      <c r="J13" s="3"/>
      <c r="K13" s="1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43" t="s">
        <v>14</v>
      </c>
      <c r="B14" s="44" t="s">
        <v>15</v>
      </c>
      <c r="C14" s="44" t="s">
        <v>16</v>
      </c>
      <c r="D14" s="44" t="s">
        <v>17</v>
      </c>
      <c r="E14" s="45" t="s">
        <v>18</v>
      </c>
      <c r="F14" s="44" t="s">
        <v>19</v>
      </c>
      <c r="G14" s="44" t="s">
        <v>19</v>
      </c>
      <c r="H14" s="12"/>
      <c r="I14" s="44" t="s">
        <v>20</v>
      </c>
      <c r="J14" s="3"/>
      <c r="K14" s="1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46" t="s">
        <v>21</v>
      </c>
      <c r="B15" s="47" t="s">
        <v>22</v>
      </c>
      <c r="C15" s="47" t="s">
        <v>23</v>
      </c>
      <c r="D15" s="48"/>
      <c r="E15" s="49" t="s">
        <v>24</v>
      </c>
      <c r="F15" s="47" t="s">
        <v>25</v>
      </c>
      <c r="G15" s="47" t="s">
        <v>25</v>
      </c>
      <c r="H15" s="12"/>
      <c r="I15" s="47" t="s">
        <v>26</v>
      </c>
      <c r="J15" s="3"/>
      <c r="K15" s="1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50"/>
      <c r="B16" s="51">
        <f>30250+750</f>
        <v>31000</v>
      </c>
      <c r="C16" s="52"/>
      <c r="D16" s="52"/>
      <c r="E16" s="53"/>
      <c r="F16" s="54">
        <v>0.0</v>
      </c>
      <c r="G16" s="54">
        <v>0.0</v>
      </c>
      <c r="H16" s="55"/>
      <c r="I16" s="56">
        <f>SUM(B16+C16+D16+E16+F16+G16)</f>
        <v>31000</v>
      </c>
      <c r="J16" s="3"/>
      <c r="K16" s="5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58"/>
      <c r="B17" s="59"/>
      <c r="C17" s="59"/>
      <c r="D17" s="59"/>
      <c r="E17" s="60"/>
      <c r="F17" s="61"/>
      <c r="G17" s="61"/>
      <c r="H17" s="12"/>
      <c r="I17" s="5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43" t="s">
        <v>27</v>
      </c>
      <c r="B18" s="44" t="s">
        <v>28</v>
      </c>
      <c r="C18" s="44" t="s">
        <v>29</v>
      </c>
      <c r="D18" s="44" t="s">
        <v>30</v>
      </c>
      <c r="E18" s="44" t="s">
        <v>19</v>
      </c>
      <c r="F18" s="62"/>
      <c r="G18" s="62"/>
      <c r="H18" s="15"/>
      <c r="I18" s="44" t="s">
        <v>31</v>
      </c>
      <c r="J18" s="15"/>
      <c r="K18" s="1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46" t="s">
        <v>32</v>
      </c>
      <c r="B19" s="47" t="s">
        <v>33</v>
      </c>
      <c r="C19" s="47" t="s">
        <v>34</v>
      </c>
      <c r="D19" s="47" t="s">
        <v>25</v>
      </c>
      <c r="E19" s="47" t="s">
        <v>25</v>
      </c>
      <c r="F19" s="63"/>
      <c r="G19" s="64"/>
      <c r="H19" s="63"/>
      <c r="I19" s="47" t="s">
        <v>35</v>
      </c>
      <c r="J19" s="63"/>
      <c r="K19" s="15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65"/>
      <c r="B20" s="54"/>
      <c r="C20" s="66">
        <v>750.0</v>
      </c>
      <c r="D20" s="54">
        <v>0.0</v>
      </c>
      <c r="E20" s="54">
        <v>0.0</v>
      </c>
      <c r="F20" s="57"/>
      <c r="G20" s="57"/>
      <c r="H20" s="57"/>
      <c r="I20" s="67">
        <f>+B20+C20+D20+E20</f>
        <v>750</v>
      </c>
      <c r="J20" s="57"/>
      <c r="K20" s="6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69"/>
      <c r="B21" s="69"/>
      <c r="C21" s="61"/>
      <c r="D21" s="61"/>
      <c r="E21" s="61"/>
      <c r="F21" s="3"/>
      <c r="G21" s="3"/>
      <c r="H21" s="3"/>
      <c r="I21" s="5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43" t="s">
        <v>36</v>
      </c>
      <c r="B22" s="44" t="s">
        <v>37</v>
      </c>
      <c r="C22" s="70" t="s">
        <v>38</v>
      </c>
      <c r="D22" s="44" t="s">
        <v>39</v>
      </c>
      <c r="E22" s="71" t="s">
        <v>40</v>
      </c>
      <c r="F22" s="72"/>
      <c r="G22" s="15"/>
      <c r="H22" s="3"/>
      <c r="I22" s="44" t="s">
        <v>41</v>
      </c>
      <c r="J22" s="3"/>
      <c r="K22" s="1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46" t="s">
        <v>42</v>
      </c>
      <c r="B23" s="73" t="s">
        <v>43</v>
      </c>
      <c r="C23" s="48" t="s">
        <v>44</v>
      </c>
      <c r="D23" s="48" t="s">
        <v>45</v>
      </c>
      <c r="E23" s="47" t="s">
        <v>46</v>
      </c>
      <c r="F23" s="74"/>
      <c r="G23" s="63"/>
      <c r="H23" s="3"/>
      <c r="I23" s="47" t="s">
        <v>47</v>
      </c>
      <c r="J23" s="3"/>
      <c r="K23" s="15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50"/>
      <c r="B24" s="82">
        <f>I16+'68-Feb'!B24</f>
        <v>93000</v>
      </c>
      <c r="C24" s="67">
        <f>C20+'68-Feb'!C24</f>
        <v>2250</v>
      </c>
      <c r="D24" s="76">
        <f>B20+'68-Feb'!D24</f>
        <v>0</v>
      </c>
      <c r="E24" s="67"/>
      <c r="F24" s="77"/>
      <c r="G24" s="3"/>
      <c r="H24" s="3"/>
      <c r="I24" s="78">
        <f>+I16-I20</f>
        <v>30250</v>
      </c>
      <c r="J24" s="3"/>
      <c r="K24" s="79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69"/>
      <c r="B25" s="80"/>
      <c r="C25" s="81"/>
      <c r="D25" s="25"/>
      <c r="E25" s="61"/>
      <c r="F25" s="12"/>
      <c r="G25" s="3"/>
      <c r="H25" s="3"/>
      <c r="I25" s="6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I1"/>
    <mergeCell ref="A2:I2"/>
    <mergeCell ref="A3:I3"/>
    <mergeCell ref="A5:I5"/>
  </mergeCells>
  <printOptions/>
  <pageMargins bottom="0.1968503937007874" footer="0.0" header="0.0" left="0.5511811023622047" right="0.07874015748031496" top="0.1968503937007874"/>
  <pageSetup paperSize="9" scale="9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4" width="12.71"/>
    <col customWidth="1" min="5" max="5" width="11.29"/>
    <col customWidth="1" min="6" max="6" width="11.71"/>
    <col customWidth="1" min="7" max="7" width="12.71"/>
    <col customWidth="1" min="8" max="8" width="2.29"/>
    <col customWidth="1" min="9" max="9" width="18.29"/>
    <col customWidth="1" min="10" max="10" width="13.43"/>
    <col customWidth="1" min="11" max="11" width="15.14"/>
    <col customWidth="1" min="12" max="12" width="10.43"/>
    <col customWidth="1" min="13" max="26" width="9.0"/>
  </cols>
  <sheetData>
    <row r="1" ht="18.0" customHeight="1">
      <c r="A1" s="1" t="s">
        <v>0</v>
      </c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1" t="s">
        <v>1</v>
      </c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9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6" t="s">
        <v>3</v>
      </c>
      <c r="J5" s="7"/>
      <c r="K5" s="7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0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3"/>
      <c r="B7" s="3"/>
      <c r="C7" s="3"/>
      <c r="D7" s="8" t="s">
        <v>4</v>
      </c>
      <c r="E7" s="9"/>
      <c r="F7" s="10" t="str">
        <f>+'ใบสรุป-68'!C6</f>
        <v>660303</v>
      </c>
      <c r="G7" s="11" t="str">
        <f>+'ใบสรุป-68'!D6</f>
        <v>3100503129503</v>
      </c>
      <c r="H7" s="12"/>
      <c r="I7" s="13" t="s">
        <v>5</v>
      </c>
      <c r="J7" s="14"/>
      <c r="K7" s="1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3"/>
      <c r="B8" s="3"/>
      <c r="C8" s="3"/>
      <c r="D8" s="16" t="s">
        <v>6</v>
      </c>
      <c r="E8" s="17"/>
      <c r="F8" s="18" t="str">
        <f>+'ใบสรุป-68'!C7</f>
        <v>Sales Department</v>
      </c>
      <c r="G8" s="19"/>
      <c r="H8" s="12"/>
      <c r="I8" s="20" t="s">
        <v>52</v>
      </c>
      <c r="J8" s="3"/>
      <c r="K8" s="2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3"/>
      <c r="B9" s="3"/>
      <c r="C9" s="3"/>
      <c r="D9" s="22" t="s">
        <v>8</v>
      </c>
      <c r="E9" s="23"/>
      <c r="F9" s="22" t="str">
        <f>+'ใบสรุป-68'!C8</f>
        <v>Office</v>
      </c>
      <c r="G9" s="24"/>
      <c r="H9" s="12"/>
      <c r="I9" s="13" t="s">
        <v>9</v>
      </c>
      <c r="J9" s="3"/>
      <c r="K9" s="1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3"/>
      <c r="B10" s="3"/>
      <c r="C10" s="3"/>
      <c r="D10" s="25" t="s">
        <v>10</v>
      </c>
      <c r="E10" s="26"/>
      <c r="F10" s="25" t="str">
        <f>+'ใบสรุป-68'!C9</f>
        <v>International Sales Consultant</v>
      </c>
      <c r="G10" s="27"/>
      <c r="H10" s="12"/>
      <c r="I10" s="28" t="s">
        <v>53</v>
      </c>
      <c r="J10" s="3"/>
      <c r="K10" s="15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29" t="s">
        <v>12</v>
      </c>
      <c r="B11" s="30" t="str">
        <f>+'ใบสรุป-68'!C4</f>
        <v>Miss Chatrawee Aungkaksem</v>
      </c>
      <c r="C11" s="31"/>
      <c r="D11" s="32"/>
      <c r="E11" s="33"/>
      <c r="F11" s="30"/>
      <c r="G11" s="34"/>
      <c r="H11" s="12"/>
      <c r="I11" s="3"/>
      <c r="J11" s="3"/>
      <c r="K11" s="15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35" t="s">
        <v>13</v>
      </c>
      <c r="B12" s="36" t="str">
        <f>+'ใบสรุป-68'!C5</f>
        <v>นางสาวฉัตรรวี สังขเกษม</v>
      </c>
      <c r="C12" s="37"/>
      <c r="D12" s="38"/>
      <c r="E12" s="37"/>
      <c r="F12" s="25"/>
      <c r="G12" s="39"/>
      <c r="H12" s="12"/>
      <c r="I12" s="3"/>
      <c r="J12" s="3"/>
      <c r="K12" s="40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41"/>
      <c r="B13" s="42"/>
      <c r="C13" s="3"/>
      <c r="D13" s="3"/>
      <c r="E13" s="3"/>
      <c r="F13" s="3"/>
      <c r="G13" s="3"/>
      <c r="H13" s="3"/>
      <c r="I13" s="3"/>
      <c r="J13" s="3"/>
      <c r="K13" s="1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43" t="s">
        <v>14</v>
      </c>
      <c r="B14" s="44" t="s">
        <v>15</v>
      </c>
      <c r="C14" s="44" t="s">
        <v>16</v>
      </c>
      <c r="D14" s="44" t="s">
        <v>17</v>
      </c>
      <c r="E14" s="45" t="s">
        <v>18</v>
      </c>
      <c r="F14" s="44" t="s">
        <v>19</v>
      </c>
      <c r="G14" s="44" t="s">
        <v>19</v>
      </c>
      <c r="H14" s="12"/>
      <c r="I14" s="44" t="s">
        <v>20</v>
      </c>
      <c r="J14" s="3"/>
      <c r="K14" s="1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46" t="s">
        <v>21</v>
      </c>
      <c r="B15" s="47" t="s">
        <v>22</v>
      </c>
      <c r="C15" s="47" t="s">
        <v>23</v>
      </c>
      <c r="D15" s="48"/>
      <c r="E15" s="49" t="s">
        <v>24</v>
      </c>
      <c r="F15" s="47" t="s">
        <v>25</v>
      </c>
      <c r="G15" s="47" t="s">
        <v>25</v>
      </c>
      <c r="H15" s="12"/>
      <c r="I15" s="47" t="s">
        <v>26</v>
      </c>
      <c r="J15" s="3"/>
      <c r="K15" s="1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50"/>
      <c r="B16" s="51">
        <f>30250+750</f>
        <v>31000</v>
      </c>
      <c r="C16" s="52"/>
      <c r="D16" s="52"/>
      <c r="E16" s="53"/>
      <c r="F16" s="54">
        <v>0.0</v>
      </c>
      <c r="G16" s="54">
        <v>0.0</v>
      </c>
      <c r="H16" s="55"/>
      <c r="I16" s="56">
        <f>SUM(B16+C16+D16+E16+F16+G16)</f>
        <v>31000</v>
      </c>
      <c r="J16" s="3"/>
      <c r="K16" s="5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58"/>
      <c r="B17" s="59"/>
      <c r="C17" s="59"/>
      <c r="D17" s="59"/>
      <c r="E17" s="60"/>
      <c r="F17" s="61"/>
      <c r="G17" s="61"/>
      <c r="H17" s="12"/>
      <c r="I17" s="5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43" t="s">
        <v>27</v>
      </c>
      <c r="B18" s="44" t="s">
        <v>28</v>
      </c>
      <c r="C18" s="44" t="s">
        <v>29</v>
      </c>
      <c r="D18" s="44" t="s">
        <v>30</v>
      </c>
      <c r="E18" s="44" t="s">
        <v>19</v>
      </c>
      <c r="F18" s="62"/>
      <c r="G18" s="62"/>
      <c r="H18" s="15"/>
      <c r="I18" s="44" t="s">
        <v>31</v>
      </c>
      <c r="J18" s="15"/>
      <c r="K18" s="1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46" t="s">
        <v>32</v>
      </c>
      <c r="B19" s="47" t="s">
        <v>33</v>
      </c>
      <c r="C19" s="47" t="s">
        <v>34</v>
      </c>
      <c r="D19" s="47" t="s">
        <v>25</v>
      </c>
      <c r="E19" s="47" t="s">
        <v>25</v>
      </c>
      <c r="F19" s="63"/>
      <c r="G19" s="64"/>
      <c r="H19" s="63"/>
      <c r="I19" s="47" t="s">
        <v>35</v>
      </c>
      <c r="J19" s="63"/>
      <c r="K19" s="15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65"/>
      <c r="B20" s="54"/>
      <c r="C20" s="66">
        <v>750.0</v>
      </c>
      <c r="D20" s="54">
        <v>0.0</v>
      </c>
      <c r="E20" s="54">
        <v>0.0</v>
      </c>
      <c r="F20" s="57"/>
      <c r="G20" s="57"/>
      <c r="H20" s="57"/>
      <c r="I20" s="67">
        <f>+B20+C20+D20+E20</f>
        <v>750</v>
      </c>
      <c r="J20" s="57"/>
      <c r="K20" s="6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69"/>
      <c r="B21" s="69"/>
      <c r="C21" s="61"/>
      <c r="D21" s="61"/>
      <c r="E21" s="61"/>
      <c r="F21" s="3"/>
      <c r="G21" s="3"/>
      <c r="H21" s="3"/>
      <c r="I21" s="5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43" t="s">
        <v>36</v>
      </c>
      <c r="B22" s="44" t="s">
        <v>37</v>
      </c>
      <c r="C22" s="70" t="s">
        <v>38</v>
      </c>
      <c r="D22" s="44" t="s">
        <v>39</v>
      </c>
      <c r="E22" s="71" t="s">
        <v>40</v>
      </c>
      <c r="F22" s="72"/>
      <c r="G22" s="15"/>
      <c r="H22" s="3"/>
      <c r="I22" s="44" t="s">
        <v>41</v>
      </c>
      <c r="J22" s="3"/>
      <c r="K22" s="1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46" t="s">
        <v>42</v>
      </c>
      <c r="B23" s="73" t="s">
        <v>43</v>
      </c>
      <c r="C23" s="48" t="s">
        <v>44</v>
      </c>
      <c r="D23" s="48" t="s">
        <v>45</v>
      </c>
      <c r="E23" s="47" t="s">
        <v>46</v>
      </c>
      <c r="F23" s="74"/>
      <c r="G23" s="63"/>
      <c r="H23" s="3"/>
      <c r="I23" s="47" t="s">
        <v>47</v>
      </c>
      <c r="J23" s="3"/>
      <c r="K23" s="15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50"/>
      <c r="B24" s="82">
        <f>I16+'68-Mar'!B24</f>
        <v>124000</v>
      </c>
      <c r="C24" s="67">
        <f>C20+'68-Mar'!C24</f>
        <v>3000</v>
      </c>
      <c r="D24" s="76">
        <f>B20+'68-Mar'!D24</f>
        <v>0</v>
      </c>
      <c r="E24" s="67"/>
      <c r="F24" s="77"/>
      <c r="G24" s="3"/>
      <c r="H24" s="3"/>
      <c r="I24" s="78">
        <f>+I16-I20</f>
        <v>30250</v>
      </c>
      <c r="J24" s="3"/>
      <c r="K24" s="79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69"/>
      <c r="B25" s="80"/>
      <c r="C25" s="81"/>
      <c r="D25" s="25"/>
      <c r="E25" s="61"/>
      <c r="F25" s="12"/>
      <c r="G25" s="3"/>
      <c r="H25" s="3"/>
      <c r="I25" s="6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I1"/>
    <mergeCell ref="A2:I2"/>
    <mergeCell ref="A3:I3"/>
    <mergeCell ref="A5:I5"/>
  </mergeCells>
  <printOptions/>
  <pageMargins bottom="0.1968503937007874" footer="0.0" header="0.0" left="0.5511811023622047" right="0.07874015748031496" top="0.1968503937007874"/>
  <pageSetup paperSize="9" scale="9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4" width="12.71"/>
    <col customWidth="1" min="5" max="5" width="11.29"/>
    <col customWidth="1" min="6" max="6" width="11.71"/>
    <col customWidth="1" min="7" max="7" width="12.71"/>
    <col customWidth="1" min="8" max="8" width="2.29"/>
    <col customWidth="1" min="9" max="9" width="18.29"/>
    <col customWidth="1" min="10" max="10" width="13.43"/>
    <col customWidth="1" min="11" max="11" width="15.14"/>
    <col customWidth="1" min="12" max="12" width="10.43"/>
    <col customWidth="1" min="13" max="26" width="9.0"/>
  </cols>
  <sheetData>
    <row r="1" ht="18.0" customHeight="1">
      <c r="A1" s="1" t="s">
        <v>0</v>
      </c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1" t="s">
        <v>1</v>
      </c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9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6" t="s">
        <v>3</v>
      </c>
      <c r="J5" s="7"/>
      <c r="K5" s="7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3"/>
      <c r="B7" s="3"/>
      <c r="C7" s="3"/>
      <c r="D7" s="8" t="s">
        <v>4</v>
      </c>
      <c r="E7" s="9"/>
      <c r="F7" s="10" t="str">
        <f>+'ใบสรุป-68'!C6</f>
        <v>660303</v>
      </c>
      <c r="G7" s="11" t="str">
        <f>+'ใบสรุป-68'!D6</f>
        <v>3100503129503</v>
      </c>
      <c r="H7" s="12"/>
      <c r="I7" s="13" t="s">
        <v>5</v>
      </c>
      <c r="J7" s="14"/>
      <c r="K7" s="1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3"/>
      <c r="B8" s="3"/>
      <c r="C8" s="3"/>
      <c r="D8" s="16" t="s">
        <v>6</v>
      </c>
      <c r="E8" s="17"/>
      <c r="F8" s="18" t="str">
        <f>+'ใบสรุป-68'!C7</f>
        <v>Sales Department</v>
      </c>
      <c r="G8" s="19"/>
      <c r="H8" s="12"/>
      <c r="I8" s="20" t="s">
        <v>54</v>
      </c>
      <c r="J8" s="3"/>
      <c r="K8" s="2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3"/>
      <c r="B9" s="3"/>
      <c r="C9" s="3"/>
      <c r="D9" s="22" t="s">
        <v>8</v>
      </c>
      <c r="E9" s="23"/>
      <c r="F9" s="22" t="str">
        <f>+'ใบสรุป-68'!C8</f>
        <v>Office</v>
      </c>
      <c r="G9" s="24"/>
      <c r="H9" s="12"/>
      <c r="I9" s="13" t="s">
        <v>9</v>
      </c>
      <c r="J9" s="3"/>
      <c r="K9" s="1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3"/>
      <c r="B10" s="3"/>
      <c r="C10" s="3"/>
      <c r="D10" s="25" t="s">
        <v>10</v>
      </c>
      <c r="E10" s="26"/>
      <c r="F10" s="25" t="str">
        <f>+'ใบสรุป-68'!C9</f>
        <v>International Sales Consultant</v>
      </c>
      <c r="G10" s="27"/>
      <c r="H10" s="12"/>
      <c r="I10" s="28" t="s">
        <v>55</v>
      </c>
      <c r="J10" s="3"/>
      <c r="K10" s="15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29" t="s">
        <v>12</v>
      </c>
      <c r="B11" s="30" t="str">
        <f>+'ใบสรุป-68'!C4</f>
        <v>Miss Chatrawee Aungkaksem</v>
      </c>
      <c r="C11" s="31"/>
      <c r="D11" s="32"/>
      <c r="E11" s="33"/>
      <c r="F11" s="30"/>
      <c r="G11" s="34"/>
      <c r="H11" s="12"/>
      <c r="I11" s="3"/>
      <c r="J11" s="3"/>
      <c r="K11" s="15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35" t="s">
        <v>13</v>
      </c>
      <c r="B12" s="36" t="str">
        <f>+'ใบสรุป-68'!C5</f>
        <v>นางสาวฉัตรรวี สังขเกษม</v>
      </c>
      <c r="C12" s="37"/>
      <c r="D12" s="38"/>
      <c r="E12" s="37"/>
      <c r="F12" s="25"/>
      <c r="G12" s="39"/>
      <c r="H12" s="12"/>
      <c r="I12" s="3"/>
      <c r="J12" s="3"/>
      <c r="K12" s="40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41"/>
      <c r="B13" s="42"/>
      <c r="C13" s="3"/>
      <c r="D13" s="3"/>
      <c r="E13" s="3"/>
      <c r="F13" s="3"/>
      <c r="G13" s="3"/>
      <c r="H13" s="3"/>
      <c r="I13" s="3"/>
      <c r="J13" s="3"/>
      <c r="K13" s="1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43" t="s">
        <v>14</v>
      </c>
      <c r="B14" s="44" t="s">
        <v>15</v>
      </c>
      <c r="C14" s="44" t="s">
        <v>16</v>
      </c>
      <c r="D14" s="44" t="s">
        <v>17</v>
      </c>
      <c r="E14" s="45" t="s">
        <v>18</v>
      </c>
      <c r="F14" s="44" t="s">
        <v>19</v>
      </c>
      <c r="G14" s="44" t="s">
        <v>19</v>
      </c>
      <c r="H14" s="12"/>
      <c r="I14" s="44" t="s">
        <v>20</v>
      </c>
      <c r="J14" s="3"/>
      <c r="K14" s="1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46" t="s">
        <v>21</v>
      </c>
      <c r="B15" s="47" t="s">
        <v>22</v>
      </c>
      <c r="C15" s="47" t="s">
        <v>23</v>
      </c>
      <c r="D15" s="48"/>
      <c r="E15" s="49" t="s">
        <v>24</v>
      </c>
      <c r="F15" s="47" t="s">
        <v>25</v>
      </c>
      <c r="G15" s="47" t="s">
        <v>25</v>
      </c>
      <c r="H15" s="12"/>
      <c r="I15" s="47" t="s">
        <v>26</v>
      </c>
      <c r="J15" s="3"/>
      <c r="K15" s="1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50"/>
      <c r="B16" s="51">
        <f>30250+750</f>
        <v>31000</v>
      </c>
      <c r="C16" s="52"/>
      <c r="D16" s="52"/>
      <c r="E16" s="53"/>
      <c r="F16" s="54">
        <v>0.0</v>
      </c>
      <c r="G16" s="54">
        <v>0.0</v>
      </c>
      <c r="H16" s="55"/>
      <c r="I16" s="56">
        <f>SUM(B16+C16+D16+E16+F16+G16)</f>
        <v>31000</v>
      </c>
      <c r="J16" s="3"/>
      <c r="K16" s="5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58"/>
      <c r="B17" s="59"/>
      <c r="C17" s="59"/>
      <c r="D17" s="59"/>
      <c r="E17" s="60"/>
      <c r="F17" s="61"/>
      <c r="G17" s="61"/>
      <c r="H17" s="12"/>
      <c r="I17" s="5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43" t="s">
        <v>27</v>
      </c>
      <c r="B18" s="44" t="s">
        <v>28</v>
      </c>
      <c r="C18" s="44" t="s">
        <v>29</v>
      </c>
      <c r="D18" s="44" t="s">
        <v>30</v>
      </c>
      <c r="E18" s="44" t="s">
        <v>19</v>
      </c>
      <c r="F18" s="62"/>
      <c r="G18" s="62"/>
      <c r="H18" s="15"/>
      <c r="I18" s="44" t="s">
        <v>31</v>
      </c>
      <c r="J18" s="15"/>
      <c r="K18" s="1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46" t="s">
        <v>32</v>
      </c>
      <c r="B19" s="47" t="s">
        <v>33</v>
      </c>
      <c r="C19" s="47" t="s">
        <v>34</v>
      </c>
      <c r="D19" s="47" t="s">
        <v>25</v>
      </c>
      <c r="E19" s="47" t="s">
        <v>25</v>
      </c>
      <c r="F19" s="63"/>
      <c r="G19" s="64"/>
      <c r="H19" s="63"/>
      <c r="I19" s="47" t="s">
        <v>35</v>
      </c>
      <c r="J19" s="63"/>
      <c r="K19" s="15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65"/>
      <c r="B20" s="54"/>
      <c r="C20" s="66">
        <v>750.0</v>
      </c>
      <c r="D20" s="54">
        <v>0.0</v>
      </c>
      <c r="E20" s="54">
        <v>0.0</v>
      </c>
      <c r="F20" s="57"/>
      <c r="G20" s="57"/>
      <c r="H20" s="57"/>
      <c r="I20" s="67">
        <f>+B20+C20+D20+E20</f>
        <v>750</v>
      </c>
      <c r="J20" s="57"/>
      <c r="K20" s="6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69"/>
      <c r="B21" s="69"/>
      <c r="C21" s="61"/>
      <c r="D21" s="61"/>
      <c r="E21" s="61"/>
      <c r="F21" s="3"/>
      <c r="G21" s="3"/>
      <c r="H21" s="3"/>
      <c r="I21" s="5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43" t="s">
        <v>36</v>
      </c>
      <c r="B22" s="44" t="s">
        <v>37</v>
      </c>
      <c r="C22" s="70" t="s">
        <v>38</v>
      </c>
      <c r="D22" s="44" t="s">
        <v>39</v>
      </c>
      <c r="E22" s="71" t="s">
        <v>40</v>
      </c>
      <c r="F22" s="72"/>
      <c r="G22" s="15"/>
      <c r="H22" s="3"/>
      <c r="I22" s="44" t="s">
        <v>41</v>
      </c>
      <c r="J22" s="3"/>
      <c r="K22" s="1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46" t="s">
        <v>42</v>
      </c>
      <c r="B23" s="73" t="s">
        <v>43</v>
      </c>
      <c r="C23" s="48" t="s">
        <v>44</v>
      </c>
      <c r="D23" s="48" t="s">
        <v>45</v>
      </c>
      <c r="E23" s="47" t="s">
        <v>46</v>
      </c>
      <c r="F23" s="74"/>
      <c r="G23" s="63"/>
      <c r="H23" s="3"/>
      <c r="I23" s="47" t="s">
        <v>47</v>
      </c>
      <c r="J23" s="3"/>
      <c r="K23" s="15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50"/>
      <c r="B24" s="82">
        <f>I16+'68-Apr'!B24</f>
        <v>155000</v>
      </c>
      <c r="C24" s="67">
        <f>C20+'68-Apr'!C24</f>
        <v>3750</v>
      </c>
      <c r="D24" s="76">
        <f>B20+'68-Apr'!D24</f>
        <v>0</v>
      </c>
      <c r="E24" s="67"/>
      <c r="F24" s="77"/>
      <c r="G24" s="3"/>
      <c r="H24" s="3"/>
      <c r="I24" s="78">
        <f>+I16-I20</f>
        <v>30250</v>
      </c>
      <c r="J24" s="3"/>
      <c r="K24" s="79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69"/>
      <c r="B25" s="80"/>
      <c r="C25" s="81"/>
      <c r="D25" s="25"/>
      <c r="E25" s="61"/>
      <c r="F25" s="12"/>
      <c r="G25" s="3"/>
      <c r="H25" s="3"/>
      <c r="I25" s="6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I1"/>
    <mergeCell ref="A2:I2"/>
    <mergeCell ref="A3:I3"/>
    <mergeCell ref="A5:I5"/>
  </mergeCells>
  <printOptions/>
  <pageMargins bottom="0.1968503937007874" footer="0.0" header="0.0" left="0.5511811023622047" right="0.07874015748031496" top="0.1968503937007874"/>
  <pageSetup paperSize="9" scale="9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4" width="12.71"/>
    <col customWidth="1" min="5" max="5" width="11.29"/>
    <col customWidth="1" min="6" max="6" width="11.71"/>
    <col customWidth="1" min="7" max="7" width="12.71"/>
    <col customWidth="1" min="8" max="8" width="2.29"/>
    <col customWidth="1" min="9" max="9" width="18.29"/>
    <col customWidth="1" min="10" max="10" width="13.43"/>
    <col customWidth="1" min="11" max="11" width="15.14"/>
    <col customWidth="1" min="12" max="12" width="10.43"/>
    <col customWidth="1" min="13" max="26" width="9.0"/>
  </cols>
  <sheetData>
    <row r="1" ht="18.0" customHeight="1">
      <c r="A1" s="1" t="s">
        <v>0</v>
      </c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1" t="s">
        <v>1</v>
      </c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9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6" t="s">
        <v>3</v>
      </c>
      <c r="J5" s="7"/>
      <c r="K5" s="7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3"/>
      <c r="B7" s="3"/>
      <c r="C7" s="3"/>
      <c r="D7" s="8" t="s">
        <v>4</v>
      </c>
      <c r="E7" s="9"/>
      <c r="F7" s="10" t="str">
        <f>+'ใบสรุป-68'!C6</f>
        <v>660303</v>
      </c>
      <c r="G7" s="11" t="str">
        <f>+'ใบสรุป-68'!D6</f>
        <v>3100503129503</v>
      </c>
      <c r="H7" s="12"/>
      <c r="I7" s="13" t="s">
        <v>5</v>
      </c>
      <c r="J7" s="14"/>
      <c r="K7" s="1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3"/>
      <c r="B8" s="3"/>
      <c r="C8" s="3"/>
      <c r="D8" s="16" t="s">
        <v>6</v>
      </c>
      <c r="E8" s="17"/>
      <c r="F8" s="18" t="str">
        <f>+'ใบสรุป-68'!C7</f>
        <v>Sales Department</v>
      </c>
      <c r="G8" s="19"/>
      <c r="H8" s="12"/>
      <c r="I8" s="20" t="s">
        <v>56</v>
      </c>
      <c r="J8" s="3"/>
      <c r="K8" s="2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3"/>
      <c r="B9" s="3"/>
      <c r="C9" s="3"/>
      <c r="D9" s="22" t="s">
        <v>8</v>
      </c>
      <c r="E9" s="23"/>
      <c r="F9" s="22" t="str">
        <f>+'ใบสรุป-68'!C8</f>
        <v>Office</v>
      </c>
      <c r="G9" s="24"/>
      <c r="H9" s="12"/>
      <c r="I9" s="13" t="s">
        <v>9</v>
      </c>
      <c r="J9" s="3"/>
      <c r="K9" s="1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3"/>
      <c r="B10" s="3"/>
      <c r="C10" s="3"/>
      <c r="D10" s="25" t="s">
        <v>10</v>
      </c>
      <c r="E10" s="26"/>
      <c r="F10" s="25" t="str">
        <f>+'ใบสรุป-68'!C9</f>
        <v>International Sales Consultant</v>
      </c>
      <c r="G10" s="27"/>
      <c r="H10" s="12"/>
      <c r="I10" s="28" t="s">
        <v>57</v>
      </c>
      <c r="J10" s="3"/>
      <c r="K10" s="15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29" t="s">
        <v>12</v>
      </c>
      <c r="B11" s="30" t="str">
        <f>+'ใบสรุป-68'!C4</f>
        <v>Miss Chatrawee Aungkaksem</v>
      </c>
      <c r="C11" s="31"/>
      <c r="D11" s="32"/>
      <c r="E11" s="33"/>
      <c r="F11" s="30"/>
      <c r="G11" s="34"/>
      <c r="H11" s="12"/>
      <c r="I11" s="3"/>
      <c r="J11" s="3"/>
      <c r="K11" s="15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35" t="s">
        <v>13</v>
      </c>
      <c r="B12" s="36" t="str">
        <f>+'ใบสรุป-68'!C5</f>
        <v>นางสาวฉัตรรวี สังขเกษม</v>
      </c>
      <c r="C12" s="37"/>
      <c r="D12" s="38"/>
      <c r="E12" s="37"/>
      <c r="F12" s="25"/>
      <c r="G12" s="39"/>
      <c r="H12" s="12"/>
      <c r="I12" s="3"/>
      <c r="J12" s="3"/>
      <c r="K12" s="40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41"/>
      <c r="B13" s="42"/>
      <c r="C13" s="3"/>
      <c r="D13" s="3"/>
      <c r="E13" s="3"/>
      <c r="F13" s="3"/>
      <c r="G13" s="3"/>
      <c r="H13" s="3"/>
      <c r="I13" s="3"/>
      <c r="J13" s="3"/>
      <c r="K13" s="1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43" t="s">
        <v>14</v>
      </c>
      <c r="B14" s="44" t="s">
        <v>15</v>
      </c>
      <c r="C14" s="44" t="s">
        <v>16</v>
      </c>
      <c r="D14" s="44" t="s">
        <v>17</v>
      </c>
      <c r="E14" s="45" t="s">
        <v>18</v>
      </c>
      <c r="F14" s="44" t="s">
        <v>19</v>
      </c>
      <c r="G14" s="44" t="s">
        <v>19</v>
      </c>
      <c r="H14" s="12"/>
      <c r="I14" s="44" t="s">
        <v>20</v>
      </c>
      <c r="J14" s="3"/>
      <c r="K14" s="1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46" t="s">
        <v>21</v>
      </c>
      <c r="B15" s="47" t="s">
        <v>22</v>
      </c>
      <c r="C15" s="47" t="s">
        <v>23</v>
      </c>
      <c r="D15" s="48"/>
      <c r="E15" s="49" t="s">
        <v>24</v>
      </c>
      <c r="F15" s="47" t="s">
        <v>25</v>
      </c>
      <c r="G15" s="47" t="s">
        <v>25</v>
      </c>
      <c r="H15" s="12"/>
      <c r="I15" s="47" t="s">
        <v>26</v>
      </c>
      <c r="J15" s="3"/>
      <c r="K15" s="1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50"/>
      <c r="B16" s="51">
        <f>30250+750</f>
        <v>31000</v>
      </c>
      <c r="C16" s="52"/>
      <c r="D16" s="52"/>
      <c r="E16" s="53"/>
      <c r="F16" s="54">
        <v>0.0</v>
      </c>
      <c r="G16" s="54">
        <v>0.0</v>
      </c>
      <c r="H16" s="55"/>
      <c r="I16" s="56">
        <f>SUM(B16+C16+D16+E16+F16+G16)</f>
        <v>31000</v>
      </c>
      <c r="J16" s="3"/>
      <c r="K16" s="5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58"/>
      <c r="B17" s="59"/>
      <c r="C17" s="59"/>
      <c r="D17" s="59"/>
      <c r="E17" s="60"/>
      <c r="F17" s="61"/>
      <c r="G17" s="61"/>
      <c r="H17" s="12"/>
      <c r="I17" s="5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43" t="s">
        <v>27</v>
      </c>
      <c r="B18" s="44" t="s">
        <v>28</v>
      </c>
      <c r="C18" s="44" t="s">
        <v>29</v>
      </c>
      <c r="D18" s="44" t="s">
        <v>30</v>
      </c>
      <c r="E18" s="44" t="s">
        <v>19</v>
      </c>
      <c r="F18" s="62"/>
      <c r="G18" s="62"/>
      <c r="H18" s="15"/>
      <c r="I18" s="44" t="s">
        <v>31</v>
      </c>
      <c r="J18" s="15"/>
      <c r="K18" s="1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46" t="s">
        <v>32</v>
      </c>
      <c r="B19" s="47" t="s">
        <v>33</v>
      </c>
      <c r="C19" s="47" t="s">
        <v>34</v>
      </c>
      <c r="D19" s="47" t="s">
        <v>25</v>
      </c>
      <c r="E19" s="47" t="s">
        <v>25</v>
      </c>
      <c r="F19" s="63"/>
      <c r="G19" s="64"/>
      <c r="H19" s="63"/>
      <c r="I19" s="47" t="s">
        <v>35</v>
      </c>
      <c r="J19" s="63"/>
      <c r="K19" s="15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65"/>
      <c r="B20" s="54"/>
      <c r="C20" s="66">
        <v>750.0</v>
      </c>
      <c r="D20" s="54">
        <v>0.0</v>
      </c>
      <c r="E20" s="54">
        <v>0.0</v>
      </c>
      <c r="F20" s="57"/>
      <c r="G20" s="57"/>
      <c r="H20" s="57"/>
      <c r="I20" s="67">
        <f>+B20+C20+D20+E20</f>
        <v>750</v>
      </c>
      <c r="J20" s="57"/>
      <c r="K20" s="6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69"/>
      <c r="B21" s="69"/>
      <c r="C21" s="61"/>
      <c r="D21" s="61"/>
      <c r="E21" s="61"/>
      <c r="F21" s="3"/>
      <c r="G21" s="3"/>
      <c r="H21" s="3"/>
      <c r="I21" s="5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43" t="s">
        <v>36</v>
      </c>
      <c r="B22" s="44" t="s">
        <v>37</v>
      </c>
      <c r="C22" s="70" t="s">
        <v>38</v>
      </c>
      <c r="D22" s="44" t="s">
        <v>39</v>
      </c>
      <c r="E22" s="71" t="s">
        <v>40</v>
      </c>
      <c r="F22" s="72"/>
      <c r="G22" s="15"/>
      <c r="H22" s="3"/>
      <c r="I22" s="44" t="s">
        <v>41</v>
      </c>
      <c r="J22" s="3"/>
      <c r="K22" s="1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46" t="s">
        <v>42</v>
      </c>
      <c r="B23" s="73" t="s">
        <v>43</v>
      </c>
      <c r="C23" s="48" t="s">
        <v>44</v>
      </c>
      <c r="D23" s="48" t="s">
        <v>45</v>
      </c>
      <c r="E23" s="47" t="s">
        <v>46</v>
      </c>
      <c r="F23" s="74"/>
      <c r="G23" s="63"/>
      <c r="H23" s="3"/>
      <c r="I23" s="47" t="s">
        <v>47</v>
      </c>
      <c r="J23" s="3"/>
      <c r="K23" s="15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50"/>
      <c r="B24" s="82">
        <f>I16+'68-May'!B24</f>
        <v>186000</v>
      </c>
      <c r="C24" s="67">
        <f>C20+'68-May'!C24</f>
        <v>4500</v>
      </c>
      <c r="D24" s="76">
        <f>B20+'68-May'!D24</f>
        <v>0</v>
      </c>
      <c r="E24" s="67"/>
      <c r="F24" s="77"/>
      <c r="G24" s="3"/>
      <c r="H24" s="3"/>
      <c r="I24" s="78">
        <f>+I16-I20</f>
        <v>30250</v>
      </c>
      <c r="J24" s="3"/>
      <c r="K24" s="79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69"/>
      <c r="B25" s="80"/>
      <c r="C25" s="81"/>
      <c r="D25" s="25"/>
      <c r="E25" s="61"/>
      <c r="F25" s="12"/>
      <c r="G25" s="3"/>
      <c r="H25" s="3"/>
      <c r="I25" s="6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I1"/>
    <mergeCell ref="A2:I2"/>
    <mergeCell ref="A3:I3"/>
    <mergeCell ref="A5:I5"/>
  </mergeCells>
  <printOptions/>
  <pageMargins bottom="0.1968503937007874" footer="0.0" header="0.0" left="0.5511811023622047" right="0.07874015748031496" top="0.1968503937007874"/>
  <pageSetup paperSize="9" scale="9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4" width="12.71"/>
    <col customWidth="1" min="5" max="5" width="11.29"/>
    <col customWidth="1" min="6" max="6" width="11.71"/>
    <col customWidth="1" min="7" max="7" width="12.71"/>
    <col customWidth="1" min="8" max="8" width="2.29"/>
    <col customWidth="1" min="9" max="9" width="18.29"/>
    <col customWidth="1" min="10" max="10" width="13.43"/>
    <col customWidth="1" min="11" max="11" width="15.14"/>
    <col customWidth="1" min="12" max="12" width="10.43"/>
    <col customWidth="1" min="13" max="26" width="9.0"/>
  </cols>
  <sheetData>
    <row r="1" ht="18.0" customHeight="1">
      <c r="A1" s="1" t="s">
        <v>0</v>
      </c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1" t="s">
        <v>1</v>
      </c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9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6" t="s">
        <v>3</v>
      </c>
      <c r="J5" s="7"/>
      <c r="K5" s="7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3"/>
      <c r="B7" s="3"/>
      <c r="C7" s="3"/>
      <c r="D7" s="8" t="s">
        <v>4</v>
      </c>
      <c r="E7" s="9"/>
      <c r="F7" s="10" t="str">
        <f>+'ใบสรุป-68'!C6</f>
        <v>660303</v>
      </c>
      <c r="G7" s="11" t="str">
        <f>+'ใบสรุป-68'!D6</f>
        <v>3100503129503</v>
      </c>
      <c r="H7" s="12"/>
      <c r="I7" s="13" t="s">
        <v>5</v>
      </c>
      <c r="J7" s="14"/>
      <c r="K7" s="1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3"/>
      <c r="B8" s="3"/>
      <c r="C8" s="3"/>
      <c r="D8" s="16" t="s">
        <v>6</v>
      </c>
      <c r="E8" s="17"/>
      <c r="F8" s="18" t="str">
        <f>+'ใบสรุป-68'!C7</f>
        <v>Sales Department</v>
      </c>
      <c r="G8" s="19"/>
      <c r="H8" s="12"/>
      <c r="I8" s="20" t="s">
        <v>58</v>
      </c>
      <c r="J8" s="3"/>
      <c r="K8" s="2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3"/>
      <c r="B9" s="3"/>
      <c r="C9" s="3"/>
      <c r="D9" s="22" t="s">
        <v>8</v>
      </c>
      <c r="E9" s="23"/>
      <c r="F9" s="22" t="str">
        <f>+'ใบสรุป-68'!C8</f>
        <v>Office</v>
      </c>
      <c r="G9" s="24"/>
      <c r="H9" s="12"/>
      <c r="I9" s="13" t="s">
        <v>9</v>
      </c>
      <c r="J9" s="3"/>
      <c r="K9" s="1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3"/>
      <c r="B10" s="3"/>
      <c r="C10" s="3"/>
      <c r="D10" s="25" t="s">
        <v>10</v>
      </c>
      <c r="E10" s="26"/>
      <c r="F10" s="25" t="str">
        <f>+'ใบสรุป-68'!C9</f>
        <v>International Sales Consultant</v>
      </c>
      <c r="G10" s="27"/>
      <c r="H10" s="12"/>
      <c r="I10" s="28" t="s">
        <v>59</v>
      </c>
      <c r="J10" s="3"/>
      <c r="K10" s="15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29" t="s">
        <v>12</v>
      </c>
      <c r="B11" s="30" t="str">
        <f>+'ใบสรุป-68'!C4</f>
        <v>Miss Chatrawee Aungkaksem</v>
      </c>
      <c r="C11" s="31"/>
      <c r="D11" s="32"/>
      <c r="E11" s="33"/>
      <c r="F11" s="30"/>
      <c r="G11" s="34"/>
      <c r="H11" s="12"/>
      <c r="I11" s="3"/>
      <c r="J11" s="3"/>
      <c r="K11" s="15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35" t="s">
        <v>13</v>
      </c>
      <c r="B12" s="36" t="str">
        <f>+'ใบสรุป-68'!C5</f>
        <v>นางสาวฉัตรรวี สังขเกษม</v>
      </c>
      <c r="C12" s="37"/>
      <c r="D12" s="38"/>
      <c r="E12" s="37"/>
      <c r="F12" s="25"/>
      <c r="G12" s="39"/>
      <c r="H12" s="12"/>
      <c r="I12" s="3"/>
      <c r="J12" s="3"/>
      <c r="K12" s="40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41"/>
      <c r="B13" s="42"/>
      <c r="C13" s="3"/>
      <c r="D13" s="3"/>
      <c r="E13" s="3"/>
      <c r="F13" s="3"/>
      <c r="G13" s="3"/>
      <c r="H13" s="3"/>
      <c r="I13" s="3"/>
      <c r="J13" s="3"/>
      <c r="K13" s="1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43" t="s">
        <v>14</v>
      </c>
      <c r="B14" s="44" t="s">
        <v>15</v>
      </c>
      <c r="C14" s="44" t="s">
        <v>16</v>
      </c>
      <c r="D14" s="44" t="s">
        <v>17</v>
      </c>
      <c r="E14" s="45" t="s">
        <v>18</v>
      </c>
      <c r="F14" s="44" t="s">
        <v>19</v>
      </c>
      <c r="G14" s="44" t="s">
        <v>19</v>
      </c>
      <c r="H14" s="12"/>
      <c r="I14" s="44" t="s">
        <v>20</v>
      </c>
      <c r="J14" s="3"/>
      <c r="K14" s="1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46" t="s">
        <v>21</v>
      </c>
      <c r="B15" s="47" t="s">
        <v>22</v>
      </c>
      <c r="C15" s="47" t="s">
        <v>23</v>
      </c>
      <c r="D15" s="48"/>
      <c r="E15" s="49" t="s">
        <v>24</v>
      </c>
      <c r="F15" s="47" t="s">
        <v>25</v>
      </c>
      <c r="G15" s="47" t="s">
        <v>25</v>
      </c>
      <c r="H15" s="12"/>
      <c r="I15" s="47" t="s">
        <v>26</v>
      </c>
      <c r="J15" s="3"/>
      <c r="K15" s="1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50"/>
      <c r="B16" s="51">
        <f>30250+750</f>
        <v>31000</v>
      </c>
      <c r="C16" s="52"/>
      <c r="D16" s="52"/>
      <c r="E16" s="53"/>
      <c r="F16" s="54">
        <v>0.0</v>
      </c>
      <c r="G16" s="54">
        <v>0.0</v>
      </c>
      <c r="H16" s="55"/>
      <c r="I16" s="56">
        <f>SUM(B16+C16+D16+E16+F16+G16)</f>
        <v>31000</v>
      </c>
      <c r="J16" s="3"/>
      <c r="K16" s="5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58"/>
      <c r="B17" s="59"/>
      <c r="C17" s="59"/>
      <c r="D17" s="59"/>
      <c r="E17" s="60"/>
      <c r="F17" s="61"/>
      <c r="G17" s="61"/>
      <c r="H17" s="12"/>
      <c r="I17" s="5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43" t="s">
        <v>27</v>
      </c>
      <c r="B18" s="44" t="s">
        <v>28</v>
      </c>
      <c r="C18" s="44" t="s">
        <v>29</v>
      </c>
      <c r="D18" s="44" t="s">
        <v>30</v>
      </c>
      <c r="E18" s="44" t="s">
        <v>19</v>
      </c>
      <c r="F18" s="62"/>
      <c r="G18" s="62"/>
      <c r="H18" s="15"/>
      <c r="I18" s="44" t="s">
        <v>31</v>
      </c>
      <c r="J18" s="15"/>
      <c r="K18" s="1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46" t="s">
        <v>32</v>
      </c>
      <c r="B19" s="47" t="s">
        <v>33</v>
      </c>
      <c r="C19" s="47" t="s">
        <v>34</v>
      </c>
      <c r="D19" s="47" t="s">
        <v>25</v>
      </c>
      <c r="E19" s="47" t="s">
        <v>25</v>
      </c>
      <c r="F19" s="63"/>
      <c r="G19" s="64"/>
      <c r="H19" s="63"/>
      <c r="I19" s="47" t="s">
        <v>35</v>
      </c>
      <c r="J19" s="63"/>
      <c r="K19" s="15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65"/>
      <c r="B20" s="54"/>
      <c r="C20" s="66">
        <v>750.0</v>
      </c>
      <c r="D20" s="54">
        <v>0.0</v>
      </c>
      <c r="E20" s="54">
        <v>0.0</v>
      </c>
      <c r="F20" s="57"/>
      <c r="G20" s="57"/>
      <c r="H20" s="57"/>
      <c r="I20" s="67">
        <f>+B20+C20+D20+E20</f>
        <v>750</v>
      </c>
      <c r="J20" s="57"/>
      <c r="K20" s="6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69"/>
      <c r="B21" s="69"/>
      <c r="C21" s="61"/>
      <c r="D21" s="61"/>
      <c r="E21" s="61"/>
      <c r="F21" s="3"/>
      <c r="G21" s="3"/>
      <c r="H21" s="3"/>
      <c r="I21" s="5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43" t="s">
        <v>36</v>
      </c>
      <c r="B22" s="44" t="s">
        <v>37</v>
      </c>
      <c r="C22" s="70" t="s">
        <v>38</v>
      </c>
      <c r="D22" s="44" t="s">
        <v>39</v>
      </c>
      <c r="E22" s="71" t="s">
        <v>40</v>
      </c>
      <c r="F22" s="72"/>
      <c r="G22" s="15"/>
      <c r="H22" s="3"/>
      <c r="I22" s="44" t="s">
        <v>41</v>
      </c>
      <c r="J22" s="3"/>
      <c r="K22" s="1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46" t="s">
        <v>42</v>
      </c>
      <c r="B23" s="73" t="s">
        <v>43</v>
      </c>
      <c r="C23" s="48" t="s">
        <v>44</v>
      </c>
      <c r="D23" s="48" t="s">
        <v>45</v>
      </c>
      <c r="E23" s="47" t="s">
        <v>46</v>
      </c>
      <c r="F23" s="74"/>
      <c r="G23" s="63"/>
      <c r="H23" s="3"/>
      <c r="I23" s="47" t="s">
        <v>47</v>
      </c>
      <c r="J23" s="3"/>
      <c r="K23" s="15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50"/>
      <c r="B24" s="82">
        <f>I16+'68-Jun'!B24</f>
        <v>217000</v>
      </c>
      <c r="C24" s="67">
        <f>C20+'68-Jun'!C24</f>
        <v>5250</v>
      </c>
      <c r="D24" s="76">
        <f>B20+'68-Jun'!D24</f>
        <v>0</v>
      </c>
      <c r="E24" s="67"/>
      <c r="F24" s="77"/>
      <c r="G24" s="3"/>
      <c r="H24" s="3"/>
      <c r="I24" s="78">
        <f>+I16-I20</f>
        <v>30250</v>
      </c>
      <c r="J24" s="3"/>
      <c r="K24" s="79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69"/>
      <c r="B25" s="80"/>
      <c r="C25" s="81"/>
      <c r="D25" s="25"/>
      <c r="E25" s="61"/>
      <c r="F25" s="12"/>
      <c r="G25" s="3"/>
      <c r="H25" s="3"/>
      <c r="I25" s="6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I1"/>
    <mergeCell ref="A2:I2"/>
    <mergeCell ref="A3:I3"/>
    <mergeCell ref="A5:I5"/>
  </mergeCells>
  <printOptions/>
  <pageMargins bottom="0.1968503937007874" footer="0.0" header="0.0" left="0.5511811023622047" right="0.07874015748031496" top="0.1968503937007874"/>
  <pageSetup paperSize="9" scale="9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4" width="12.71"/>
    <col customWidth="1" min="5" max="5" width="11.29"/>
    <col customWidth="1" min="6" max="6" width="11.71"/>
    <col customWidth="1" min="7" max="7" width="12.71"/>
    <col customWidth="1" min="8" max="8" width="2.29"/>
    <col customWidth="1" min="9" max="9" width="18.29"/>
    <col customWidth="1" min="10" max="10" width="13.43"/>
    <col customWidth="1" min="11" max="11" width="15.14"/>
    <col customWidth="1" min="12" max="12" width="10.43"/>
    <col customWidth="1" min="13" max="26" width="9.0"/>
  </cols>
  <sheetData>
    <row r="1" ht="18.0" customHeight="1">
      <c r="A1" s="1" t="s">
        <v>0</v>
      </c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1" t="s">
        <v>1</v>
      </c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9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6" t="s">
        <v>3</v>
      </c>
      <c r="J5" s="7"/>
      <c r="K5" s="7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3"/>
      <c r="B7" s="3"/>
      <c r="C7" s="3"/>
      <c r="D7" s="8" t="s">
        <v>4</v>
      </c>
      <c r="E7" s="9"/>
      <c r="F7" s="10" t="str">
        <f>+'ใบสรุป-68'!C6</f>
        <v>660303</v>
      </c>
      <c r="G7" s="11" t="str">
        <f>+'ใบสรุป-68'!D6</f>
        <v>3100503129503</v>
      </c>
      <c r="H7" s="12"/>
      <c r="I7" s="13" t="s">
        <v>5</v>
      </c>
      <c r="J7" s="14"/>
      <c r="K7" s="1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3"/>
      <c r="B8" s="3"/>
      <c r="C8" s="3"/>
      <c r="D8" s="16" t="s">
        <v>6</v>
      </c>
      <c r="E8" s="17"/>
      <c r="F8" s="18" t="str">
        <f>+'ใบสรุป-68'!C7</f>
        <v>Sales Department</v>
      </c>
      <c r="G8" s="19"/>
      <c r="H8" s="12"/>
      <c r="I8" s="20" t="s">
        <v>60</v>
      </c>
      <c r="J8" s="3"/>
      <c r="K8" s="2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3"/>
      <c r="B9" s="3"/>
      <c r="C9" s="3"/>
      <c r="D9" s="22" t="s">
        <v>8</v>
      </c>
      <c r="E9" s="23"/>
      <c r="F9" s="22" t="str">
        <f>+'ใบสรุป-68'!C8</f>
        <v>Office</v>
      </c>
      <c r="G9" s="24"/>
      <c r="H9" s="12"/>
      <c r="I9" s="13" t="s">
        <v>9</v>
      </c>
      <c r="J9" s="3"/>
      <c r="K9" s="1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3"/>
      <c r="B10" s="3"/>
      <c r="C10" s="3"/>
      <c r="D10" s="25" t="s">
        <v>10</v>
      </c>
      <c r="E10" s="26"/>
      <c r="F10" s="25" t="str">
        <f>+'ใบสรุป-68'!C9</f>
        <v>International Sales Consultant</v>
      </c>
      <c r="G10" s="27"/>
      <c r="H10" s="12"/>
      <c r="I10" s="28" t="s">
        <v>61</v>
      </c>
      <c r="J10" s="3"/>
      <c r="K10" s="15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29" t="s">
        <v>12</v>
      </c>
      <c r="B11" s="30" t="str">
        <f>+'ใบสรุป-68'!C4</f>
        <v>Miss Chatrawee Aungkaksem</v>
      </c>
      <c r="C11" s="31"/>
      <c r="D11" s="32"/>
      <c r="E11" s="33"/>
      <c r="F11" s="30"/>
      <c r="G11" s="34"/>
      <c r="H11" s="12"/>
      <c r="I11" s="3"/>
      <c r="J11" s="3"/>
      <c r="K11" s="15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35" t="s">
        <v>13</v>
      </c>
      <c r="B12" s="36" t="str">
        <f>+'ใบสรุป-68'!C5</f>
        <v>นางสาวฉัตรรวี สังขเกษม</v>
      </c>
      <c r="C12" s="37"/>
      <c r="D12" s="38"/>
      <c r="E12" s="37"/>
      <c r="F12" s="25"/>
      <c r="G12" s="39"/>
      <c r="H12" s="12"/>
      <c r="I12" s="3"/>
      <c r="J12" s="3"/>
      <c r="K12" s="40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41"/>
      <c r="B13" s="42"/>
      <c r="C13" s="3"/>
      <c r="D13" s="3"/>
      <c r="E13" s="3"/>
      <c r="F13" s="3"/>
      <c r="G13" s="3"/>
      <c r="H13" s="3"/>
      <c r="I13" s="3"/>
      <c r="J13" s="3"/>
      <c r="K13" s="1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43" t="s">
        <v>14</v>
      </c>
      <c r="B14" s="44" t="s">
        <v>15</v>
      </c>
      <c r="C14" s="44" t="s">
        <v>16</v>
      </c>
      <c r="D14" s="44" t="s">
        <v>17</v>
      </c>
      <c r="E14" s="45" t="s">
        <v>18</v>
      </c>
      <c r="F14" s="44" t="s">
        <v>19</v>
      </c>
      <c r="G14" s="44" t="s">
        <v>19</v>
      </c>
      <c r="H14" s="12"/>
      <c r="I14" s="44" t="s">
        <v>20</v>
      </c>
      <c r="J14" s="3"/>
      <c r="K14" s="1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46" t="s">
        <v>21</v>
      </c>
      <c r="B15" s="47" t="s">
        <v>22</v>
      </c>
      <c r="C15" s="47" t="s">
        <v>23</v>
      </c>
      <c r="D15" s="48"/>
      <c r="E15" s="49" t="s">
        <v>24</v>
      </c>
      <c r="F15" s="47" t="s">
        <v>25</v>
      </c>
      <c r="G15" s="47" t="s">
        <v>25</v>
      </c>
      <c r="H15" s="12"/>
      <c r="I15" s="47" t="s">
        <v>26</v>
      </c>
      <c r="J15" s="3"/>
      <c r="K15" s="1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50"/>
      <c r="B16" s="51">
        <f>30250+750</f>
        <v>31000</v>
      </c>
      <c r="C16" s="52"/>
      <c r="D16" s="52"/>
      <c r="E16" s="53"/>
      <c r="F16" s="54">
        <v>0.0</v>
      </c>
      <c r="G16" s="54">
        <v>0.0</v>
      </c>
      <c r="H16" s="55"/>
      <c r="I16" s="56">
        <f>SUM(B16+C16+D16+E16+F16+G16)</f>
        <v>31000</v>
      </c>
      <c r="J16" s="3"/>
      <c r="K16" s="5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58"/>
      <c r="B17" s="59"/>
      <c r="C17" s="59"/>
      <c r="D17" s="59"/>
      <c r="E17" s="60"/>
      <c r="F17" s="61"/>
      <c r="G17" s="61"/>
      <c r="H17" s="12"/>
      <c r="I17" s="5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43" t="s">
        <v>27</v>
      </c>
      <c r="B18" s="44" t="s">
        <v>28</v>
      </c>
      <c r="C18" s="44" t="s">
        <v>29</v>
      </c>
      <c r="D18" s="44" t="s">
        <v>30</v>
      </c>
      <c r="E18" s="44" t="s">
        <v>19</v>
      </c>
      <c r="F18" s="62"/>
      <c r="G18" s="62"/>
      <c r="H18" s="15"/>
      <c r="I18" s="44" t="s">
        <v>31</v>
      </c>
      <c r="J18" s="15"/>
      <c r="K18" s="1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46" t="s">
        <v>32</v>
      </c>
      <c r="B19" s="47" t="s">
        <v>33</v>
      </c>
      <c r="C19" s="47" t="s">
        <v>34</v>
      </c>
      <c r="D19" s="47" t="s">
        <v>25</v>
      </c>
      <c r="E19" s="47" t="s">
        <v>25</v>
      </c>
      <c r="F19" s="63"/>
      <c r="G19" s="64"/>
      <c r="H19" s="63"/>
      <c r="I19" s="47" t="s">
        <v>35</v>
      </c>
      <c r="J19" s="63"/>
      <c r="K19" s="15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65"/>
      <c r="B20" s="54"/>
      <c r="C20" s="66">
        <v>750.0</v>
      </c>
      <c r="D20" s="54">
        <v>0.0</v>
      </c>
      <c r="E20" s="54">
        <v>0.0</v>
      </c>
      <c r="F20" s="57"/>
      <c r="G20" s="57"/>
      <c r="H20" s="57"/>
      <c r="I20" s="67">
        <f>+B20+C20+D20+E20</f>
        <v>750</v>
      </c>
      <c r="J20" s="57"/>
      <c r="K20" s="6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69"/>
      <c r="B21" s="69"/>
      <c r="C21" s="61"/>
      <c r="D21" s="61"/>
      <c r="E21" s="61"/>
      <c r="F21" s="3"/>
      <c r="G21" s="3"/>
      <c r="H21" s="3"/>
      <c r="I21" s="5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43" t="s">
        <v>36</v>
      </c>
      <c r="B22" s="44" t="s">
        <v>37</v>
      </c>
      <c r="C22" s="70" t="s">
        <v>38</v>
      </c>
      <c r="D22" s="44" t="s">
        <v>39</v>
      </c>
      <c r="E22" s="71" t="s">
        <v>40</v>
      </c>
      <c r="F22" s="72"/>
      <c r="G22" s="15"/>
      <c r="H22" s="3"/>
      <c r="I22" s="44" t="s">
        <v>41</v>
      </c>
      <c r="J22" s="3"/>
      <c r="K22" s="1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46" t="s">
        <v>42</v>
      </c>
      <c r="B23" s="73" t="s">
        <v>43</v>
      </c>
      <c r="C23" s="48" t="s">
        <v>44</v>
      </c>
      <c r="D23" s="48" t="s">
        <v>45</v>
      </c>
      <c r="E23" s="47" t="s">
        <v>46</v>
      </c>
      <c r="F23" s="74"/>
      <c r="G23" s="63"/>
      <c r="H23" s="3"/>
      <c r="I23" s="47" t="s">
        <v>47</v>
      </c>
      <c r="J23" s="3"/>
      <c r="K23" s="15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50"/>
      <c r="B24" s="82">
        <f>I16+'68-Jul'!B24</f>
        <v>248000</v>
      </c>
      <c r="C24" s="67">
        <f>C20+'68-Jul'!C24</f>
        <v>6000</v>
      </c>
      <c r="D24" s="76">
        <f>B20+'68-Jul'!D24</f>
        <v>0</v>
      </c>
      <c r="E24" s="67"/>
      <c r="F24" s="77"/>
      <c r="G24" s="3"/>
      <c r="H24" s="3"/>
      <c r="I24" s="78">
        <f>+I16-I20</f>
        <v>30250</v>
      </c>
      <c r="J24" s="3"/>
      <c r="K24" s="79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69"/>
      <c r="B25" s="80"/>
      <c r="C25" s="81"/>
      <c r="D25" s="25"/>
      <c r="E25" s="61"/>
      <c r="F25" s="12"/>
      <c r="G25" s="3"/>
      <c r="H25" s="3"/>
      <c r="I25" s="6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I1"/>
    <mergeCell ref="A2:I2"/>
    <mergeCell ref="A3:I3"/>
    <mergeCell ref="A5:I5"/>
  </mergeCells>
  <printOptions/>
  <pageMargins bottom="0.1968503937007874" footer="0.0" header="0.0" left="0.5511811023622047" right="0.07874015748031496" top="0.1968503937007874"/>
  <pageSetup paperSize="9" scale="9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4" width="12.71"/>
    <col customWidth="1" min="5" max="5" width="11.29"/>
    <col customWidth="1" min="6" max="6" width="11.71"/>
    <col customWidth="1" min="7" max="7" width="12.71"/>
    <col customWidth="1" min="8" max="8" width="2.29"/>
    <col customWidth="1" min="9" max="9" width="18.29"/>
    <col customWidth="1" min="10" max="10" width="13.43"/>
    <col customWidth="1" min="11" max="11" width="15.14"/>
    <col customWidth="1" min="12" max="12" width="10.43"/>
    <col customWidth="1" min="13" max="26" width="9.0"/>
  </cols>
  <sheetData>
    <row r="1" ht="18.0" customHeight="1">
      <c r="A1" s="1" t="s">
        <v>0</v>
      </c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1" t="s">
        <v>1</v>
      </c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9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6" t="s">
        <v>3</v>
      </c>
      <c r="J5" s="7"/>
      <c r="K5" s="7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3"/>
      <c r="B7" s="3"/>
      <c r="C7" s="3"/>
      <c r="D7" s="8" t="s">
        <v>4</v>
      </c>
      <c r="E7" s="9"/>
      <c r="F7" s="10" t="str">
        <f>+'ใบสรุป-68'!C6</f>
        <v>660303</v>
      </c>
      <c r="G7" s="11" t="str">
        <f>+'ใบสรุป-68'!D6</f>
        <v>3100503129503</v>
      </c>
      <c r="H7" s="12"/>
      <c r="I7" s="13" t="s">
        <v>5</v>
      </c>
      <c r="J7" s="14"/>
      <c r="K7" s="1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3"/>
      <c r="B8" s="3"/>
      <c r="C8" s="3"/>
      <c r="D8" s="16" t="s">
        <v>6</v>
      </c>
      <c r="E8" s="17"/>
      <c r="F8" s="18" t="str">
        <f>+'ใบสรุป-68'!C7</f>
        <v>Sales Department</v>
      </c>
      <c r="G8" s="19"/>
      <c r="H8" s="12"/>
      <c r="I8" s="20" t="s">
        <v>62</v>
      </c>
      <c r="J8" s="3"/>
      <c r="K8" s="2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3"/>
      <c r="B9" s="3"/>
      <c r="C9" s="3"/>
      <c r="D9" s="22" t="s">
        <v>8</v>
      </c>
      <c r="E9" s="23"/>
      <c r="F9" s="22" t="str">
        <f>+'ใบสรุป-68'!C8</f>
        <v>Office</v>
      </c>
      <c r="G9" s="24"/>
      <c r="H9" s="12"/>
      <c r="I9" s="13" t="s">
        <v>9</v>
      </c>
      <c r="J9" s="3"/>
      <c r="K9" s="1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3"/>
      <c r="B10" s="3"/>
      <c r="C10" s="3"/>
      <c r="D10" s="25" t="s">
        <v>10</v>
      </c>
      <c r="E10" s="26"/>
      <c r="F10" s="25" t="str">
        <f>+'ใบสรุป-68'!C9</f>
        <v>International Sales Consultant</v>
      </c>
      <c r="G10" s="27"/>
      <c r="H10" s="12"/>
      <c r="I10" s="28" t="s">
        <v>63</v>
      </c>
      <c r="J10" s="3"/>
      <c r="K10" s="15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29" t="s">
        <v>12</v>
      </c>
      <c r="B11" s="30" t="str">
        <f>+'ใบสรุป-68'!C4</f>
        <v>Miss Chatrawee Aungkaksem</v>
      </c>
      <c r="C11" s="31"/>
      <c r="D11" s="32"/>
      <c r="E11" s="33"/>
      <c r="F11" s="30"/>
      <c r="G11" s="34"/>
      <c r="H11" s="12"/>
      <c r="I11" s="3"/>
      <c r="J11" s="3"/>
      <c r="K11" s="15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35" t="s">
        <v>13</v>
      </c>
      <c r="B12" s="36" t="str">
        <f>+'ใบสรุป-68'!C5</f>
        <v>นางสาวฉัตรรวี สังขเกษม</v>
      </c>
      <c r="C12" s="37"/>
      <c r="D12" s="38"/>
      <c r="E12" s="37"/>
      <c r="F12" s="25"/>
      <c r="G12" s="39"/>
      <c r="H12" s="12"/>
      <c r="I12" s="3"/>
      <c r="J12" s="3"/>
      <c r="K12" s="40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41"/>
      <c r="B13" s="42"/>
      <c r="C13" s="3"/>
      <c r="D13" s="3"/>
      <c r="E13" s="3"/>
      <c r="F13" s="3"/>
      <c r="G13" s="3"/>
      <c r="H13" s="3"/>
      <c r="I13" s="3"/>
      <c r="J13" s="3"/>
      <c r="K13" s="1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43" t="s">
        <v>14</v>
      </c>
      <c r="B14" s="44" t="s">
        <v>15</v>
      </c>
      <c r="C14" s="44" t="s">
        <v>16</v>
      </c>
      <c r="D14" s="44" t="s">
        <v>17</v>
      </c>
      <c r="E14" s="45" t="s">
        <v>18</v>
      </c>
      <c r="F14" s="44" t="s">
        <v>19</v>
      </c>
      <c r="G14" s="44" t="s">
        <v>19</v>
      </c>
      <c r="H14" s="12"/>
      <c r="I14" s="44" t="s">
        <v>20</v>
      </c>
      <c r="J14" s="3"/>
      <c r="K14" s="1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46" t="s">
        <v>21</v>
      </c>
      <c r="B15" s="47" t="s">
        <v>22</v>
      </c>
      <c r="C15" s="47" t="s">
        <v>23</v>
      </c>
      <c r="D15" s="48"/>
      <c r="E15" s="49" t="s">
        <v>24</v>
      </c>
      <c r="F15" s="47" t="s">
        <v>25</v>
      </c>
      <c r="G15" s="47" t="s">
        <v>25</v>
      </c>
      <c r="H15" s="12"/>
      <c r="I15" s="47" t="s">
        <v>26</v>
      </c>
      <c r="J15" s="3"/>
      <c r="K15" s="1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50"/>
      <c r="B16" s="51">
        <f>30250+750</f>
        <v>31000</v>
      </c>
      <c r="C16" s="52"/>
      <c r="D16" s="52"/>
      <c r="E16" s="53"/>
      <c r="F16" s="54">
        <v>0.0</v>
      </c>
      <c r="G16" s="54">
        <v>0.0</v>
      </c>
      <c r="H16" s="55"/>
      <c r="I16" s="56">
        <f>SUM(B16+C16+D16+E16+F16+G16)</f>
        <v>31000</v>
      </c>
      <c r="J16" s="3"/>
      <c r="K16" s="5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58"/>
      <c r="B17" s="59"/>
      <c r="C17" s="59"/>
      <c r="D17" s="59"/>
      <c r="E17" s="60"/>
      <c r="F17" s="61"/>
      <c r="G17" s="61"/>
      <c r="H17" s="12"/>
      <c r="I17" s="5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43" t="s">
        <v>27</v>
      </c>
      <c r="B18" s="44" t="s">
        <v>28</v>
      </c>
      <c r="C18" s="44" t="s">
        <v>29</v>
      </c>
      <c r="D18" s="44" t="s">
        <v>30</v>
      </c>
      <c r="E18" s="44" t="s">
        <v>19</v>
      </c>
      <c r="F18" s="62"/>
      <c r="G18" s="62"/>
      <c r="H18" s="15"/>
      <c r="I18" s="44" t="s">
        <v>31</v>
      </c>
      <c r="J18" s="15"/>
      <c r="K18" s="1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46" t="s">
        <v>32</v>
      </c>
      <c r="B19" s="47" t="s">
        <v>33</v>
      </c>
      <c r="C19" s="47" t="s">
        <v>34</v>
      </c>
      <c r="D19" s="47" t="s">
        <v>25</v>
      </c>
      <c r="E19" s="47" t="s">
        <v>25</v>
      </c>
      <c r="F19" s="63"/>
      <c r="G19" s="64"/>
      <c r="H19" s="63"/>
      <c r="I19" s="47" t="s">
        <v>35</v>
      </c>
      <c r="J19" s="63"/>
      <c r="K19" s="15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65"/>
      <c r="B20" s="54"/>
      <c r="C20" s="66">
        <v>750.0</v>
      </c>
      <c r="D20" s="54">
        <v>0.0</v>
      </c>
      <c r="E20" s="54">
        <v>0.0</v>
      </c>
      <c r="F20" s="57"/>
      <c r="G20" s="57"/>
      <c r="H20" s="57"/>
      <c r="I20" s="67">
        <f>+B20+C20+D20+E20</f>
        <v>750</v>
      </c>
      <c r="J20" s="57"/>
      <c r="K20" s="6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69"/>
      <c r="B21" s="69"/>
      <c r="C21" s="61"/>
      <c r="D21" s="61"/>
      <c r="E21" s="61"/>
      <c r="F21" s="3"/>
      <c r="G21" s="3"/>
      <c r="H21" s="3"/>
      <c r="I21" s="5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43" t="s">
        <v>36</v>
      </c>
      <c r="B22" s="44" t="s">
        <v>37</v>
      </c>
      <c r="C22" s="70" t="s">
        <v>38</v>
      </c>
      <c r="D22" s="44" t="s">
        <v>39</v>
      </c>
      <c r="E22" s="71" t="s">
        <v>40</v>
      </c>
      <c r="F22" s="72"/>
      <c r="G22" s="15"/>
      <c r="H22" s="3"/>
      <c r="I22" s="44" t="s">
        <v>41</v>
      </c>
      <c r="J22" s="3"/>
      <c r="K22" s="1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46" t="s">
        <v>42</v>
      </c>
      <c r="B23" s="73" t="s">
        <v>43</v>
      </c>
      <c r="C23" s="48" t="s">
        <v>44</v>
      </c>
      <c r="D23" s="48" t="s">
        <v>45</v>
      </c>
      <c r="E23" s="47" t="s">
        <v>46</v>
      </c>
      <c r="F23" s="74"/>
      <c r="G23" s="63"/>
      <c r="H23" s="3"/>
      <c r="I23" s="47" t="s">
        <v>47</v>
      </c>
      <c r="J23" s="3"/>
      <c r="K23" s="15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50"/>
      <c r="B24" s="82">
        <f>I16+'68-Aug'!B24</f>
        <v>279000</v>
      </c>
      <c r="C24" s="67">
        <f>C20+'68-Aug'!C24</f>
        <v>6750</v>
      </c>
      <c r="D24" s="76">
        <f>B20+'68-Aug'!D24</f>
        <v>0</v>
      </c>
      <c r="E24" s="67"/>
      <c r="F24" s="77"/>
      <c r="G24" s="3"/>
      <c r="H24" s="3"/>
      <c r="I24" s="78">
        <f>+I16-I20</f>
        <v>30250</v>
      </c>
      <c r="J24" s="3"/>
      <c r="K24" s="79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69"/>
      <c r="B25" s="80"/>
      <c r="C25" s="81"/>
      <c r="D25" s="25"/>
      <c r="E25" s="61"/>
      <c r="F25" s="12"/>
      <c r="G25" s="3"/>
      <c r="H25" s="3"/>
      <c r="I25" s="6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I1"/>
    <mergeCell ref="A2:I2"/>
    <mergeCell ref="A3:I3"/>
    <mergeCell ref="A5:I5"/>
  </mergeCells>
  <printOptions/>
  <pageMargins bottom="0.1968503937007874" footer="0.0" header="0.0" left="0.5511811023622047" right="0.07874015748031496" top="0.1968503937007874"/>
  <pageSetup paperSize="9" scale="9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4" width="12.71"/>
    <col customWidth="1" min="5" max="5" width="11.29"/>
    <col customWidth="1" min="6" max="6" width="11.71"/>
    <col customWidth="1" min="7" max="7" width="12.71"/>
    <col customWidth="1" min="8" max="8" width="2.29"/>
    <col customWidth="1" min="9" max="9" width="18.29"/>
    <col customWidth="1" min="10" max="10" width="13.43"/>
    <col customWidth="1" min="11" max="11" width="15.14"/>
    <col customWidth="1" min="12" max="12" width="10.43"/>
    <col customWidth="1" min="13" max="26" width="9.0"/>
  </cols>
  <sheetData>
    <row r="1" ht="18.0" customHeight="1">
      <c r="A1" s="1" t="s">
        <v>0</v>
      </c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1" t="s">
        <v>1</v>
      </c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9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6" t="s">
        <v>3</v>
      </c>
      <c r="J5" s="7"/>
      <c r="K5" s="7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3"/>
      <c r="B7" s="3"/>
      <c r="C7" s="3"/>
      <c r="D7" s="8" t="s">
        <v>4</v>
      </c>
      <c r="E7" s="9"/>
      <c r="F7" s="10" t="str">
        <f>+'ใบสรุป-68'!C6</f>
        <v>660303</v>
      </c>
      <c r="G7" s="11" t="str">
        <f>+'ใบสรุป-68'!D6</f>
        <v>3100503129503</v>
      </c>
      <c r="H7" s="12"/>
      <c r="I7" s="13" t="s">
        <v>5</v>
      </c>
      <c r="J7" s="14"/>
      <c r="K7" s="1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3"/>
      <c r="B8" s="3"/>
      <c r="C8" s="3"/>
      <c r="D8" s="16" t="s">
        <v>6</v>
      </c>
      <c r="E8" s="17"/>
      <c r="F8" s="18" t="str">
        <f>+'ใบสรุป-68'!C7</f>
        <v>Sales Department</v>
      </c>
      <c r="G8" s="19"/>
      <c r="H8" s="12"/>
      <c r="I8" s="20" t="s">
        <v>64</v>
      </c>
      <c r="J8" s="3"/>
      <c r="K8" s="2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3"/>
      <c r="B9" s="3"/>
      <c r="C9" s="3"/>
      <c r="D9" s="22" t="s">
        <v>8</v>
      </c>
      <c r="E9" s="23"/>
      <c r="F9" s="22" t="str">
        <f>+'ใบสรุป-68'!C8</f>
        <v>Office</v>
      </c>
      <c r="G9" s="24"/>
      <c r="H9" s="12"/>
      <c r="I9" s="13" t="s">
        <v>9</v>
      </c>
      <c r="J9" s="3"/>
      <c r="K9" s="1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3"/>
      <c r="B10" s="3"/>
      <c r="C10" s="3"/>
      <c r="D10" s="25" t="s">
        <v>10</v>
      </c>
      <c r="E10" s="26"/>
      <c r="F10" s="25" t="str">
        <f>+'ใบสรุป-68'!C9</f>
        <v>International Sales Consultant</v>
      </c>
      <c r="G10" s="27"/>
      <c r="H10" s="12"/>
      <c r="I10" s="28" t="s">
        <v>65</v>
      </c>
      <c r="J10" s="3"/>
      <c r="K10" s="15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29" t="s">
        <v>12</v>
      </c>
      <c r="B11" s="30" t="str">
        <f>+'ใบสรุป-68'!C4</f>
        <v>Miss Chatrawee Aungkaksem</v>
      </c>
      <c r="C11" s="31"/>
      <c r="D11" s="32"/>
      <c r="E11" s="33"/>
      <c r="F11" s="30"/>
      <c r="G11" s="34"/>
      <c r="H11" s="12"/>
      <c r="I11" s="3"/>
      <c r="J11" s="3"/>
      <c r="K11" s="15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35" t="s">
        <v>13</v>
      </c>
      <c r="B12" s="36" t="str">
        <f>+'ใบสรุป-68'!C5</f>
        <v>นางสาวฉัตรรวี สังขเกษม</v>
      </c>
      <c r="C12" s="37"/>
      <c r="D12" s="38"/>
      <c r="E12" s="37"/>
      <c r="F12" s="25"/>
      <c r="G12" s="39"/>
      <c r="H12" s="12"/>
      <c r="I12" s="3"/>
      <c r="J12" s="3"/>
      <c r="K12" s="40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41"/>
      <c r="B13" s="42"/>
      <c r="C13" s="3"/>
      <c r="D13" s="3"/>
      <c r="E13" s="3"/>
      <c r="F13" s="3"/>
      <c r="G13" s="3"/>
      <c r="H13" s="3"/>
      <c r="I13" s="3"/>
      <c r="J13" s="3"/>
      <c r="K13" s="1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43" t="s">
        <v>14</v>
      </c>
      <c r="B14" s="44" t="s">
        <v>15</v>
      </c>
      <c r="C14" s="44" t="s">
        <v>16</v>
      </c>
      <c r="D14" s="44" t="s">
        <v>17</v>
      </c>
      <c r="E14" s="45" t="s">
        <v>18</v>
      </c>
      <c r="F14" s="44" t="s">
        <v>19</v>
      </c>
      <c r="G14" s="44" t="s">
        <v>19</v>
      </c>
      <c r="H14" s="12"/>
      <c r="I14" s="44" t="s">
        <v>20</v>
      </c>
      <c r="J14" s="3"/>
      <c r="K14" s="1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46" t="s">
        <v>21</v>
      </c>
      <c r="B15" s="47" t="s">
        <v>22</v>
      </c>
      <c r="C15" s="47" t="s">
        <v>23</v>
      </c>
      <c r="D15" s="48"/>
      <c r="E15" s="49" t="s">
        <v>24</v>
      </c>
      <c r="F15" s="47" t="s">
        <v>25</v>
      </c>
      <c r="G15" s="47" t="s">
        <v>25</v>
      </c>
      <c r="H15" s="12"/>
      <c r="I15" s="47" t="s">
        <v>26</v>
      </c>
      <c r="J15" s="3"/>
      <c r="K15" s="1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50"/>
      <c r="B16" s="51">
        <v>31000.0</v>
      </c>
      <c r="C16" s="52"/>
      <c r="D16" s="52"/>
      <c r="E16" s="53"/>
      <c r="F16" s="54">
        <v>0.0</v>
      </c>
      <c r="G16" s="54">
        <v>0.0</v>
      </c>
      <c r="H16" s="55"/>
      <c r="I16" s="56">
        <f>SUM(B16+C16+D16+E16+F16+G16)</f>
        <v>31000</v>
      </c>
      <c r="J16" s="3"/>
      <c r="K16" s="5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58"/>
      <c r="B17" s="59"/>
      <c r="C17" s="59"/>
      <c r="D17" s="59"/>
      <c r="E17" s="60"/>
      <c r="F17" s="61"/>
      <c r="G17" s="61"/>
      <c r="H17" s="12"/>
      <c r="I17" s="5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43" t="s">
        <v>27</v>
      </c>
      <c r="B18" s="44" t="s">
        <v>28</v>
      </c>
      <c r="C18" s="44" t="s">
        <v>29</v>
      </c>
      <c r="D18" s="44" t="s">
        <v>30</v>
      </c>
      <c r="E18" s="44" t="s">
        <v>19</v>
      </c>
      <c r="F18" s="62"/>
      <c r="G18" s="62"/>
      <c r="H18" s="15"/>
      <c r="I18" s="44" t="s">
        <v>31</v>
      </c>
      <c r="J18" s="15"/>
      <c r="K18" s="1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46" t="s">
        <v>32</v>
      </c>
      <c r="B19" s="47" t="s">
        <v>33</v>
      </c>
      <c r="C19" s="47" t="s">
        <v>34</v>
      </c>
      <c r="D19" s="47" t="s">
        <v>25</v>
      </c>
      <c r="E19" s="47" t="s">
        <v>25</v>
      </c>
      <c r="F19" s="63"/>
      <c r="G19" s="64"/>
      <c r="H19" s="63"/>
      <c r="I19" s="47" t="s">
        <v>35</v>
      </c>
      <c r="J19" s="63"/>
      <c r="K19" s="15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65"/>
      <c r="B20" s="54"/>
      <c r="C20" s="66">
        <v>750.0</v>
      </c>
      <c r="D20" s="54">
        <v>0.0</v>
      </c>
      <c r="E20" s="54">
        <v>0.0</v>
      </c>
      <c r="F20" s="57"/>
      <c r="G20" s="57"/>
      <c r="H20" s="57"/>
      <c r="I20" s="67">
        <f>+B20+C20+D20+E20</f>
        <v>750</v>
      </c>
      <c r="J20" s="57"/>
      <c r="K20" s="6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69"/>
      <c r="B21" s="69"/>
      <c r="C21" s="61"/>
      <c r="D21" s="61"/>
      <c r="E21" s="61"/>
      <c r="F21" s="3"/>
      <c r="G21" s="3"/>
      <c r="H21" s="3"/>
      <c r="I21" s="5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43" t="s">
        <v>36</v>
      </c>
      <c r="B22" s="44" t="s">
        <v>37</v>
      </c>
      <c r="C22" s="70" t="s">
        <v>38</v>
      </c>
      <c r="D22" s="44" t="s">
        <v>39</v>
      </c>
      <c r="E22" s="71" t="s">
        <v>40</v>
      </c>
      <c r="F22" s="72"/>
      <c r="G22" s="15"/>
      <c r="H22" s="3"/>
      <c r="I22" s="44" t="s">
        <v>41</v>
      </c>
      <c r="J22" s="3"/>
      <c r="K22" s="1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46" t="s">
        <v>42</v>
      </c>
      <c r="B23" s="73" t="s">
        <v>43</v>
      </c>
      <c r="C23" s="48" t="s">
        <v>44</v>
      </c>
      <c r="D23" s="48" t="s">
        <v>45</v>
      </c>
      <c r="E23" s="47" t="s">
        <v>46</v>
      </c>
      <c r="F23" s="74"/>
      <c r="G23" s="63"/>
      <c r="H23" s="3"/>
      <c r="I23" s="47" t="s">
        <v>47</v>
      </c>
      <c r="J23" s="3"/>
      <c r="K23" s="15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50"/>
      <c r="B24" s="82">
        <f>I16+'68-Sep'!B24</f>
        <v>310000</v>
      </c>
      <c r="C24" s="67">
        <f>C20+'68-Sep'!C24</f>
        <v>7500</v>
      </c>
      <c r="D24" s="76">
        <f>B20+'68-Sep'!D24</f>
        <v>0</v>
      </c>
      <c r="E24" s="67"/>
      <c r="F24" s="77"/>
      <c r="G24" s="3"/>
      <c r="H24" s="3"/>
      <c r="I24" s="78">
        <f>+I16-I20</f>
        <v>30250</v>
      </c>
      <c r="J24" s="3"/>
      <c r="K24" s="79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69"/>
      <c r="B25" s="80"/>
      <c r="C25" s="81"/>
      <c r="D25" s="25"/>
      <c r="E25" s="61"/>
      <c r="F25" s="12"/>
      <c r="G25" s="3"/>
      <c r="H25" s="3"/>
      <c r="I25" s="6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I1"/>
    <mergeCell ref="A2:I2"/>
    <mergeCell ref="A3:I3"/>
    <mergeCell ref="A5:I5"/>
  </mergeCells>
  <printOptions/>
  <pageMargins bottom="0.1968503937007874" footer="0.0" header="0.0" left="0.5511811023622047" right="0.07874015748031496" top="0.1968503937007874"/>
  <pageSetup paperSize="9" scale="9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4" width="12.71"/>
    <col customWidth="1" min="5" max="5" width="11.29"/>
    <col customWidth="1" min="6" max="6" width="11.71"/>
    <col customWidth="1" min="7" max="7" width="12.71"/>
    <col customWidth="1" min="8" max="8" width="2.29"/>
    <col customWidth="1" min="9" max="9" width="18.29"/>
    <col customWidth="1" min="10" max="10" width="13.43"/>
    <col customWidth="1" min="11" max="11" width="15.14"/>
    <col customWidth="1" min="12" max="12" width="10.43"/>
    <col customWidth="1" min="13" max="26" width="9.0"/>
  </cols>
  <sheetData>
    <row r="1" ht="18.0" customHeight="1">
      <c r="A1" s="1" t="s">
        <v>0</v>
      </c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1" t="s">
        <v>1</v>
      </c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9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6" t="s">
        <v>3</v>
      </c>
      <c r="J5" s="7"/>
      <c r="K5" s="7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3"/>
      <c r="B7" s="3"/>
      <c r="C7" s="3"/>
      <c r="D7" s="8" t="s">
        <v>4</v>
      </c>
      <c r="E7" s="9"/>
      <c r="F7" s="10" t="str">
        <f>+'ใบสรุป-68'!C6</f>
        <v>660303</v>
      </c>
      <c r="G7" s="11" t="str">
        <f>+'ใบสรุป-68'!D6</f>
        <v>3100503129503</v>
      </c>
      <c r="H7" s="12"/>
      <c r="I7" s="13" t="s">
        <v>5</v>
      </c>
      <c r="J7" s="14"/>
      <c r="K7" s="1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3"/>
      <c r="B8" s="3"/>
      <c r="C8" s="3"/>
      <c r="D8" s="16" t="s">
        <v>6</v>
      </c>
      <c r="E8" s="17"/>
      <c r="F8" s="18" t="str">
        <f>+'ใบสรุป-68'!C7</f>
        <v>Sales Department</v>
      </c>
      <c r="G8" s="19"/>
      <c r="H8" s="12"/>
      <c r="I8" s="20" t="s">
        <v>66</v>
      </c>
      <c r="J8" s="3"/>
      <c r="K8" s="2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3"/>
      <c r="B9" s="3"/>
      <c r="C9" s="3"/>
      <c r="D9" s="22" t="s">
        <v>8</v>
      </c>
      <c r="E9" s="23"/>
      <c r="F9" s="22" t="str">
        <f>+'ใบสรุป-68'!C8</f>
        <v>Office</v>
      </c>
      <c r="G9" s="24"/>
      <c r="H9" s="12"/>
      <c r="I9" s="13" t="s">
        <v>9</v>
      </c>
      <c r="J9" s="3"/>
      <c r="K9" s="1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3"/>
      <c r="B10" s="3"/>
      <c r="C10" s="3"/>
      <c r="D10" s="25" t="s">
        <v>10</v>
      </c>
      <c r="E10" s="26"/>
      <c r="F10" s="25" t="str">
        <f>+'ใบสรุป-68'!C9</f>
        <v>International Sales Consultant</v>
      </c>
      <c r="G10" s="27"/>
      <c r="H10" s="12"/>
      <c r="I10" s="28" t="s">
        <v>67</v>
      </c>
      <c r="J10" s="3"/>
      <c r="K10" s="15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29" t="s">
        <v>12</v>
      </c>
      <c r="B11" s="30" t="str">
        <f>+'ใบสรุป-68'!C4</f>
        <v>Miss Chatrawee Aungkaksem</v>
      </c>
      <c r="C11" s="31"/>
      <c r="D11" s="32"/>
      <c r="E11" s="33"/>
      <c r="F11" s="30"/>
      <c r="G11" s="34"/>
      <c r="H11" s="12"/>
      <c r="I11" s="3"/>
      <c r="J11" s="3"/>
      <c r="K11" s="15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35" t="s">
        <v>13</v>
      </c>
      <c r="B12" s="36" t="str">
        <f>+'ใบสรุป-68'!C5</f>
        <v>นางสาวฉัตรรวี สังขเกษม</v>
      </c>
      <c r="C12" s="37"/>
      <c r="D12" s="38"/>
      <c r="E12" s="37"/>
      <c r="F12" s="25"/>
      <c r="G12" s="39"/>
      <c r="H12" s="12"/>
      <c r="I12" s="3"/>
      <c r="J12" s="3"/>
      <c r="K12" s="40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41"/>
      <c r="B13" s="42"/>
      <c r="C13" s="3"/>
      <c r="D13" s="3"/>
      <c r="E13" s="3"/>
      <c r="F13" s="3"/>
      <c r="G13" s="3"/>
      <c r="H13" s="3"/>
      <c r="I13" s="3"/>
      <c r="J13" s="3"/>
      <c r="K13" s="1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43" t="s">
        <v>14</v>
      </c>
      <c r="B14" s="44" t="s">
        <v>15</v>
      </c>
      <c r="C14" s="44" t="s">
        <v>16</v>
      </c>
      <c r="D14" s="44" t="s">
        <v>17</v>
      </c>
      <c r="E14" s="45" t="s">
        <v>18</v>
      </c>
      <c r="F14" s="44" t="s">
        <v>19</v>
      </c>
      <c r="G14" s="44" t="s">
        <v>19</v>
      </c>
      <c r="H14" s="12"/>
      <c r="I14" s="44" t="s">
        <v>20</v>
      </c>
      <c r="J14" s="3"/>
      <c r="K14" s="1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46" t="s">
        <v>21</v>
      </c>
      <c r="B15" s="47" t="s">
        <v>22</v>
      </c>
      <c r="C15" s="47" t="s">
        <v>23</v>
      </c>
      <c r="D15" s="48"/>
      <c r="E15" s="49" t="s">
        <v>24</v>
      </c>
      <c r="F15" s="47" t="s">
        <v>25</v>
      </c>
      <c r="G15" s="47" t="s">
        <v>25</v>
      </c>
      <c r="H15" s="12"/>
      <c r="I15" s="47" t="s">
        <v>26</v>
      </c>
      <c r="J15" s="3"/>
      <c r="K15" s="1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50"/>
      <c r="B16" s="51">
        <v>31000.0</v>
      </c>
      <c r="C16" s="52"/>
      <c r="D16" s="52"/>
      <c r="E16" s="53"/>
      <c r="F16" s="54">
        <v>0.0</v>
      </c>
      <c r="G16" s="54">
        <v>0.0</v>
      </c>
      <c r="H16" s="55"/>
      <c r="I16" s="56">
        <f>SUM(B16+C16+D16+E16+F16+G16)</f>
        <v>31000</v>
      </c>
      <c r="J16" s="3"/>
      <c r="K16" s="5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58"/>
      <c r="B17" s="59"/>
      <c r="C17" s="59"/>
      <c r="D17" s="59"/>
      <c r="E17" s="60"/>
      <c r="F17" s="61"/>
      <c r="G17" s="61"/>
      <c r="H17" s="12"/>
      <c r="I17" s="5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43" t="s">
        <v>27</v>
      </c>
      <c r="B18" s="44" t="s">
        <v>28</v>
      </c>
      <c r="C18" s="44" t="s">
        <v>29</v>
      </c>
      <c r="D18" s="44" t="s">
        <v>30</v>
      </c>
      <c r="E18" s="44" t="s">
        <v>19</v>
      </c>
      <c r="F18" s="62"/>
      <c r="G18" s="62"/>
      <c r="H18" s="15"/>
      <c r="I18" s="44" t="s">
        <v>31</v>
      </c>
      <c r="J18" s="15"/>
      <c r="K18" s="1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46" t="s">
        <v>32</v>
      </c>
      <c r="B19" s="47" t="s">
        <v>33</v>
      </c>
      <c r="C19" s="47" t="s">
        <v>34</v>
      </c>
      <c r="D19" s="47" t="s">
        <v>25</v>
      </c>
      <c r="E19" s="47" t="s">
        <v>25</v>
      </c>
      <c r="F19" s="63"/>
      <c r="G19" s="64"/>
      <c r="H19" s="63"/>
      <c r="I19" s="47" t="s">
        <v>35</v>
      </c>
      <c r="J19" s="63"/>
      <c r="K19" s="15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65"/>
      <c r="B20" s="54"/>
      <c r="C20" s="66">
        <v>750.0</v>
      </c>
      <c r="D20" s="54">
        <v>0.0</v>
      </c>
      <c r="E20" s="54">
        <v>0.0</v>
      </c>
      <c r="F20" s="57"/>
      <c r="G20" s="57"/>
      <c r="H20" s="57"/>
      <c r="I20" s="67">
        <f>+B20+C20+D20+E20</f>
        <v>750</v>
      </c>
      <c r="J20" s="57"/>
      <c r="K20" s="6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69"/>
      <c r="B21" s="69"/>
      <c r="C21" s="61"/>
      <c r="D21" s="61"/>
      <c r="E21" s="61"/>
      <c r="F21" s="3"/>
      <c r="G21" s="3"/>
      <c r="H21" s="3"/>
      <c r="I21" s="5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43" t="s">
        <v>36</v>
      </c>
      <c r="B22" s="44" t="s">
        <v>37</v>
      </c>
      <c r="C22" s="70" t="s">
        <v>38</v>
      </c>
      <c r="D22" s="44" t="s">
        <v>39</v>
      </c>
      <c r="E22" s="71" t="s">
        <v>40</v>
      </c>
      <c r="F22" s="72"/>
      <c r="G22" s="15"/>
      <c r="H22" s="3"/>
      <c r="I22" s="44" t="s">
        <v>41</v>
      </c>
      <c r="J22" s="3"/>
      <c r="K22" s="1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46" t="s">
        <v>42</v>
      </c>
      <c r="B23" s="73" t="s">
        <v>43</v>
      </c>
      <c r="C23" s="48" t="s">
        <v>44</v>
      </c>
      <c r="D23" s="48" t="s">
        <v>45</v>
      </c>
      <c r="E23" s="47" t="s">
        <v>46</v>
      </c>
      <c r="F23" s="74"/>
      <c r="G23" s="63"/>
      <c r="H23" s="3"/>
      <c r="I23" s="47" t="s">
        <v>47</v>
      </c>
      <c r="J23" s="3"/>
      <c r="K23" s="15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50"/>
      <c r="B24" s="82">
        <f>I16+'68-Oct'!B24</f>
        <v>341000</v>
      </c>
      <c r="C24" s="67">
        <f>C20+'68-Oct'!C24</f>
        <v>8250</v>
      </c>
      <c r="D24" s="76">
        <f>B20+'68-Oct'!D24</f>
        <v>0</v>
      </c>
      <c r="E24" s="67"/>
      <c r="F24" s="77"/>
      <c r="G24" s="3"/>
      <c r="H24" s="3"/>
      <c r="I24" s="78">
        <f>+I16-I20</f>
        <v>30250</v>
      </c>
      <c r="J24" s="3"/>
      <c r="K24" s="79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69"/>
      <c r="B25" s="80"/>
      <c r="C25" s="81"/>
      <c r="D25" s="25"/>
      <c r="E25" s="61"/>
      <c r="F25" s="12"/>
      <c r="G25" s="3"/>
      <c r="H25" s="3"/>
      <c r="I25" s="6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I1"/>
    <mergeCell ref="A2:I2"/>
    <mergeCell ref="A3:I3"/>
    <mergeCell ref="A5:I5"/>
  </mergeCells>
  <printOptions/>
  <pageMargins bottom="0.1968503937007874" footer="0.0" header="0.0" left="0.5511811023622047" right="0.07874015748031496" top="0.1968503937007874"/>
  <pageSetup paperSize="9" scale="9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4" width="12.71"/>
    <col customWidth="1" min="5" max="5" width="11.29"/>
    <col customWidth="1" min="6" max="6" width="11.71"/>
    <col customWidth="1" min="7" max="7" width="12.71"/>
    <col customWidth="1" min="8" max="8" width="2.29"/>
    <col customWidth="1" min="9" max="9" width="18.29"/>
    <col customWidth="1" min="10" max="10" width="13.43"/>
    <col customWidth="1" min="11" max="11" width="15.14"/>
    <col customWidth="1" min="12" max="12" width="10.43"/>
    <col customWidth="1" min="13" max="26" width="9.0"/>
  </cols>
  <sheetData>
    <row r="1" ht="18.0" customHeight="1">
      <c r="A1" s="1" t="s">
        <v>0</v>
      </c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1" t="s">
        <v>1</v>
      </c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9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6" t="s">
        <v>3</v>
      </c>
      <c r="J5" s="7"/>
      <c r="K5" s="7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3"/>
      <c r="B7" s="3"/>
      <c r="C7" s="3"/>
      <c r="D7" s="8" t="s">
        <v>4</v>
      </c>
      <c r="E7" s="9"/>
      <c r="F7" s="10" t="str">
        <f>+'ใบสรุป-68'!C6</f>
        <v>660303</v>
      </c>
      <c r="G7" s="11" t="str">
        <f>+'ใบสรุป-68'!D6</f>
        <v>3100503129503</v>
      </c>
      <c r="H7" s="12"/>
      <c r="I7" s="13" t="s">
        <v>5</v>
      </c>
      <c r="J7" s="14"/>
      <c r="K7" s="1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3"/>
      <c r="B8" s="3"/>
      <c r="C8" s="3"/>
      <c r="D8" s="16" t="s">
        <v>6</v>
      </c>
      <c r="E8" s="17"/>
      <c r="F8" s="18" t="str">
        <f>+'ใบสรุป-68'!C7</f>
        <v>Sales Department</v>
      </c>
      <c r="G8" s="19"/>
      <c r="H8" s="12"/>
      <c r="I8" s="20" t="s">
        <v>68</v>
      </c>
      <c r="J8" s="3"/>
      <c r="K8" s="2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3"/>
      <c r="B9" s="3"/>
      <c r="C9" s="3"/>
      <c r="D9" s="22" t="s">
        <v>8</v>
      </c>
      <c r="E9" s="23"/>
      <c r="F9" s="22" t="str">
        <f>+'ใบสรุป-68'!C8</f>
        <v>Office</v>
      </c>
      <c r="G9" s="24"/>
      <c r="H9" s="12"/>
      <c r="I9" s="13" t="s">
        <v>9</v>
      </c>
      <c r="J9" s="3"/>
      <c r="K9" s="1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3"/>
      <c r="B10" s="3"/>
      <c r="C10" s="3"/>
      <c r="D10" s="25" t="s">
        <v>10</v>
      </c>
      <c r="E10" s="26"/>
      <c r="F10" s="25" t="str">
        <f>+'ใบสรุป-68'!C9</f>
        <v>International Sales Consultant</v>
      </c>
      <c r="G10" s="27"/>
      <c r="H10" s="12"/>
      <c r="I10" s="28" t="s">
        <v>69</v>
      </c>
      <c r="J10" s="3"/>
      <c r="K10" s="15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29" t="s">
        <v>12</v>
      </c>
      <c r="B11" s="30" t="str">
        <f>+'ใบสรุป-68'!C4</f>
        <v>Miss Chatrawee Aungkaksem</v>
      </c>
      <c r="C11" s="31"/>
      <c r="D11" s="32"/>
      <c r="E11" s="33"/>
      <c r="F11" s="30"/>
      <c r="G11" s="34"/>
      <c r="H11" s="12"/>
      <c r="I11" s="3"/>
      <c r="J11" s="3"/>
      <c r="K11" s="15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35" t="s">
        <v>13</v>
      </c>
      <c r="B12" s="36" t="str">
        <f>+'ใบสรุป-68'!C5</f>
        <v>นางสาวฉัตรรวี สังขเกษม</v>
      </c>
      <c r="C12" s="37"/>
      <c r="D12" s="38"/>
      <c r="E12" s="37"/>
      <c r="F12" s="25"/>
      <c r="G12" s="39"/>
      <c r="H12" s="12"/>
      <c r="I12" s="3"/>
      <c r="J12" s="3"/>
      <c r="K12" s="40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41"/>
      <c r="B13" s="42"/>
      <c r="C13" s="3"/>
      <c r="D13" s="3"/>
      <c r="E13" s="3"/>
      <c r="F13" s="3"/>
      <c r="G13" s="3"/>
      <c r="H13" s="3"/>
      <c r="I13" s="3"/>
      <c r="J13" s="3"/>
      <c r="K13" s="1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43" t="s">
        <v>14</v>
      </c>
      <c r="B14" s="44" t="s">
        <v>15</v>
      </c>
      <c r="C14" s="44" t="s">
        <v>16</v>
      </c>
      <c r="D14" s="44" t="s">
        <v>17</v>
      </c>
      <c r="E14" s="45" t="s">
        <v>18</v>
      </c>
      <c r="F14" s="44" t="s">
        <v>19</v>
      </c>
      <c r="G14" s="44" t="s">
        <v>19</v>
      </c>
      <c r="H14" s="12"/>
      <c r="I14" s="44" t="s">
        <v>20</v>
      </c>
      <c r="J14" s="3"/>
      <c r="K14" s="1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46" t="s">
        <v>21</v>
      </c>
      <c r="B15" s="47" t="s">
        <v>22</v>
      </c>
      <c r="C15" s="47" t="s">
        <v>23</v>
      </c>
      <c r="D15" s="48"/>
      <c r="E15" s="49" t="s">
        <v>24</v>
      </c>
      <c r="F15" s="47" t="s">
        <v>25</v>
      </c>
      <c r="G15" s="47" t="s">
        <v>25</v>
      </c>
      <c r="H15" s="12"/>
      <c r="I15" s="47" t="s">
        <v>26</v>
      </c>
      <c r="J15" s="3"/>
      <c r="K15" s="1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50"/>
      <c r="B16" s="51">
        <f>30250+750</f>
        <v>31000</v>
      </c>
      <c r="C16" s="52"/>
      <c r="D16" s="52"/>
      <c r="E16" s="53"/>
      <c r="F16" s="54">
        <v>0.0</v>
      </c>
      <c r="G16" s="54">
        <v>0.0</v>
      </c>
      <c r="H16" s="55"/>
      <c r="I16" s="56">
        <f>SUM(B16+C16+D16+E16+F16+G16)</f>
        <v>31000</v>
      </c>
      <c r="J16" s="3"/>
      <c r="K16" s="5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58"/>
      <c r="B17" s="59"/>
      <c r="C17" s="59"/>
      <c r="D17" s="59"/>
      <c r="E17" s="60"/>
      <c r="F17" s="61"/>
      <c r="G17" s="61"/>
      <c r="H17" s="12"/>
      <c r="I17" s="5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43" t="s">
        <v>27</v>
      </c>
      <c r="B18" s="44" t="s">
        <v>28</v>
      </c>
      <c r="C18" s="44" t="s">
        <v>29</v>
      </c>
      <c r="D18" s="44" t="s">
        <v>30</v>
      </c>
      <c r="E18" s="44" t="s">
        <v>19</v>
      </c>
      <c r="F18" s="62"/>
      <c r="G18" s="62"/>
      <c r="H18" s="15"/>
      <c r="I18" s="44" t="s">
        <v>31</v>
      </c>
      <c r="J18" s="15"/>
      <c r="K18" s="1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46" t="s">
        <v>32</v>
      </c>
      <c r="B19" s="47" t="s">
        <v>33</v>
      </c>
      <c r="C19" s="47" t="s">
        <v>34</v>
      </c>
      <c r="D19" s="47" t="s">
        <v>25</v>
      </c>
      <c r="E19" s="47" t="s">
        <v>25</v>
      </c>
      <c r="F19" s="63"/>
      <c r="G19" s="64"/>
      <c r="H19" s="63"/>
      <c r="I19" s="47" t="s">
        <v>35</v>
      </c>
      <c r="J19" s="63"/>
      <c r="K19" s="15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65"/>
      <c r="B20" s="54"/>
      <c r="C20" s="66">
        <v>750.0</v>
      </c>
      <c r="D20" s="54">
        <v>0.0</v>
      </c>
      <c r="E20" s="54">
        <v>0.0</v>
      </c>
      <c r="F20" s="57"/>
      <c r="G20" s="57"/>
      <c r="H20" s="57"/>
      <c r="I20" s="67">
        <f>+B20+C20+D20+E20</f>
        <v>750</v>
      </c>
      <c r="J20" s="57"/>
      <c r="K20" s="6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69"/>
      <c r="B21" s="69"/>
      <c r="C21" s="61"/>
      <c r="D21" s="61"/>
      <c r="E21" s="61"/>
      <c r="F21" s="3"/>
      <c r="G21" s="3"/>
      <c r="H21" s="3"/>
      <c r="I21" s="5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43" t="s">
        <v>36</v>
      </c>
      <c r="B22" s="44" t="s">
        <v>37</v>
      </c>
      <c r="C22" s="70" t="s">
        <v>38</v>
      </c>
      <c r="D22" s="44" t="s">
        <v>39</v>
      </c>
      <c r="E22" s="71" t="s">
        <v>40</v>
      </c>
      <c r="F22" s="72"/>
      <c r="G22" s="15"/>
      <c r="H22" s="3"/>
      <c r="I22" s="44" t="s">
        <v>41</v>
      </c>
      <c r="J22" s="3"/>
      <c r="K22" s="1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46" t="s">
        <v>42</v>
      </c>
      <c r="B23" s="73" t="s">
        <v>43</v>
      </c>
      <c r="C23" s="48" t="s">
        <v>44</v>
      </c>
      <c r="D23" s="48" t="s">
        <v>45</v>
      </c>
      <c r="E23" s="47" t="s">
        <v>46</v>
      </c>
      <c r="F23" s="74"/>
      <c r="G23" s="63"/>
      <c r="H23" s="3"/>
      <c r="I23" s="47" t="s">
        <v>47</v>
      </c>
      <c r="J23" s="3"/>
      <c r="K23" s="15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50"/>
      <c r="B24" s="82">
        <f>I16+'68-Nov'!B24</f>
        <v>372000</v>
      </c>
      <c r="C24" s="67">
        <f>C20+'68-Nov'!C24</f>
        <v>9000</v>
      </c>
      <c r="D24" s="76">
        <f>B20+'68-Nov'!D24</f>
        <v>0</v>
      </c>
      <c r="E24" s="67"/>
      <c r="F24" s="77"/>
      <c r="G24" s="3"/>
      <c r="H24" s="3"/>
      <c r="I24" s="78">
        <f>I16-I20</f>
        <v>30250</v>
      </c>
      <c r="J24" s="3"/>
      <c r="K24" s="79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69"/>
      <c r="B25" s="80"/>
      <c r="C25" s="81"/>
      <c r="D25" s="25"/>
      <c r="E25" s="61"/>
      <c r="F25" s="12"/>
      <c r="G25" s="3"/>
      <c r="H25" s="3"/>
      <c r="I25" s="6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I1"/>
    <mergeCell ref="A2:I2"/>
    <mergeCell ref="A3:I3"/>
    <mergeCell ref="A5:I5"/>
  </mergeCells>
  <printOptions/>
  <pageMargins bottom="0.1968503937007874" footer="0.0" header="0.0" left="0.5511811023622047" right="0.07874015748031496" top="0.1968503937007874"/>
  <pageSetup paperSize="9" scale="9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0.57"/>
    <col customWidth="1" min="3" max="4" width="12.43"/>
    <col customWidth="1" min="5" max="5" width="10.57"/>
    <col customWidth="1" min="6" max="6" width="7.86"/>
    <col customWidth="1" min="7" max="7" width="6.86"/>
    <col customWidth="1" min="8" max="8" width="6.43"/>
    <col customWidth="1" min="9" max="9" width="6.86"/>
    <col customWidth="1" min="10" max="10" width="11.57"/>
    <col customWidth="1" min="11" max="11" width="8.43"/>
    <col customWidth="1" min="12" max="12" width="10.14"/>
    <col customWidth="1" min="13" max="13" width="0.71"/>
    <col customWidth="1" min="14" max="14" width="15.14"/>
    <col customWidth="1" min="15" max="26" width="9.0"/>
  </cols>
  <sheetData>
    <row r="1" ht="18.0" customHeight="1">
      <c r="A1" s="1" t="s">
        <v>0</v>
      </c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1" t="s">
        <v>70</v>
      </c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83" t="s">
        <v>2</v>
      </c>
      <c r="B3" s="84"/>
      <c r="C3" s="84"/>
      <c r="D3" s="84"/>
      <c r="E3" s="84"/>
      <c r="F3" s="84"/>
      <c r="G3" s="84"/>
      <c r="H3" s="84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9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0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1" t="s">
        <v>71</v>
      </c>
      <c r="I14" s="2"/>
      <c r="J14" s="2"/>
      <c r="K14" s="2"/>
      <c r="L14" s="2"/>
      <c r="M14" s="2"/>
      <c r="N14" s="2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H1"/>
    <mergeCell ref="A2:H2"/>
    <mergeCell ref="A3:H3"/>
    <mergeCell ref="A14:H14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13.0"/>
    <col customWidth="1" min="3" max="3" width="8.86"/>
    <col customWidth="1" min="4" max="4" width="9.14"/>
    <col customWidth="1" min="5" max="5" width="10.43"/>
    <col customWidth="1" min="6" max="6" width="9.43"/>
    <col customWidth="1" min="7" max="7" width="9.14"/>
    <col customWidth="1" min="8" max="8" width="9.43"/>
    <col customWidth="1" min="9" max="9" width="4.86"/>
    <col customWidth="1" min="10" max="10" width="8.0"/>
    <col customWidth="1" min="11" max="11" width="7.14"/>
    <col customWidth="1" min="12" max="12" width="9.43"/>
    <col customWidth="1" min="13" max="13" width="10.0"/>
    <col customWidth="1" min="14" max="14" width="6.43"/>
    <col customWidth="1" min="15" max="15" width="13.71"/>
    <col customWidth="1" min="16" max="26" width="9.0"/>
  </cols>
  <sheetData>
    <row r="1" ht="18.0" customHeight="1">
      <c r="A1" s="85" t="s">
        <v>0</v>
      </c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ht="18.0" customHeight="1">
      <c r="A2" s="85" t="s">
        <v>72</v>
      </c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ht="18.0" customHeight="1">
      <c r="A3" s="85" t="s">
        <v>73</v>
      </c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ht="18.0" customHeight="1">
      <c r="A4" s="87" t="s">
        <v>12</v>
      </c>
      <c r="B4" s="88"/>
      <c r="C4" s="89" t="s">
        <v>74</v>
      </c>
      <c r="D4" s="90"/>
      <c r="E4" s="91"/>
      <c r="F4" s="85"/>
      <c r="G4" s="85"/>
      <c r="H4" s="85"/>
      <c r="I4" s="85"/>
      <c r="J4" s="85"/>
      <c r="K4" s="85"/>
      <c r="L4" s="85"/>
      <c r="M4" s="85"/>
      <c r="N4" s="85"/>
      <c r="O4" s="85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ht="18.0" customHeight="1">
      <c r="A5" s="92" t="s">
        <v>13</v>
      </c>
      <c r="B5" s="93"/>
      <c r="C5" s="94" t="s">
        <v>75</v>
      </c>
      <c r="D5" s="95"/>
      <c r="E5" s="96"/>
      <c r="F5" s="85"/>
      <c r="G5" s="85"/>
      <c r="H5" s="85"/>
      <c r="I5" s="85"/>
      <c r="J5" s="85"/>
      <c r="K5" s="85"/>
      <c r="L5" s="85"/>
      <c r="M5" s="85"/>
      <c r="N5" s="85"/>
      <c r="O5" s="85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ht="18.0" customHeight="1">
      <c r="A6" s="97" t="s">
        <v>4</v>
      </c>
      <c r="B6" s="98"/>
      <c r="C6" s="99" t="s">
        <v>76</v>
      </c>
      <c r="D6" s="99" t="s">
        <v>77</v>
      </c>
      <c r="E6" s="100"/>
      <c r="F6" s="101"/>
      <c r="G6" s="101"/>
      <c r="H6" s="101"/>
      <c r="I6" s="102"/>
      <c r="J6" s="102"/>
      <c r="K6" s="86"/>
      <c r="L6" s="103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ht="18.0" customHeight="1">
      <c r="A7" s="104" t="s">
        <v>6</v>
      </c>
      <c r="B7" s="105"/>
      <c r="C7" s="106" t="s">
        <v>78</v>
      </c>
      <c r="D7" s="107"/>
      <c r="E7" s="108"/>
      <c r="F7" s="101"/>
      <c r="G7" s="101"/>
      <c r="H7" s="101"/>
      <c r="I7" s="101"/>
      <c r="J7" s="101"/>
      <c r="K7" s="101"/>
      <c r="L7" s="109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ht="18.0" customHeight="1">
      <c r="A8" s="97" t="s">
        <v>8</v>
      </c>
      <c r="B8" s="110"/>
      <c r="C8" s="111" t="s">
        <v>79</v>
      </c>
      <c r="D8" s="112"/>
      <c r="E8" s="113"/>
      <c r="F8" s="101"/>
      <c r="G8" s="101"/>
      <c r="H8" s="101"/>
      <c r="I8" s="101"/>
      <c r="J8" s="101"/>
      <c r="K8" s="101"/>
      <c r="L8" s="109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ht="18.0" customHeight="1">
      <c r="A9" s="104" t="s">
        <v>10</v>
      </c>
      <c r="B9" s="105"/>
      <c r="C9" s="114" t="s">
        <v>80</v>
      </c>
      <c r="D9" s="107"/>
      <c r="E9" s="108"/>
      <c r="F9" s="101"/>
      <c r="G9" s="101"/>
      <c r="H9" s="101"/>
      <c r="I9" s="101"/>
      <c r="J9" s="101"/>
      <c r="K9" s="101"/>
      <c r="L9" s="109"/>
      <c r="M9" s="115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ht="18.0" customHeight="1">
      <c r="A10" s="116" t="s">
        <v>81</v>
      </c>
      <c r="B10" s="117"/>
      <c r="C10" s="118" t="s">
        <v>82</v>
      </c>
      <c r="D10" s="119"/>
      <c r="E10" s="120"/>
      <c r="F10" s="101"/>
      <c r="G10" s="101"/>
      <c r="H10" s="101"/>
      <c r="I10" s="101"/>
      <c r="J10" s="101"/>
      <c r="K10" s="101"/>
      <c r="L10" s="109"/>
      <c r="M10" s="115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ht="18.0" customHeight="1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ht="18.0" customHeight="1">
      <c r="A12" s="121" t="s">
        <v>83</v>
      </c>
      <c r="B12" s="122" t="s">
        <v>15</v>
      </c>
      <c r="C12" s="123" t="s">
        <v>16</v>
      </c>
      <c r="D12" s="123" t="s">
        <v>17</v>
      </c>
      <c r="E12" s="123" t="s">
        <v>18</v>
      </c>
      <c r="F12" s="123" t="s">
        <v>19</v>
      </c>
      <c r="G12" s="124" t="s">
        <v>19</v>
      </c>
      <c r="H12" s="125" t="s">
        <v>84</v>
      </c>
      <c r="I12" s="125" t="s">
        <v>85</v>
      </c>
      <c r="J12" s="125" t="s">
        <v>86</v>
      </c>
      <c r="K12" s="125" t="s">
        <v>87</v>
      </c>
      <c r="L12" s="125" t="s">
        <v>88</v>
      </c>
      <c r="M12" s="126" t="s">
        <v>89</v>
      </c>
      <c r="N12" s="127"/>
      <c r="O12" s="128" t="s">
        <v>90</v>
      </c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ht="18.0" customHeight="1">
      <c r="A13" s="129"/>
      <c r="B13" s="130" t="s">
        <v>91</v>
      </c>
      <c r="C13" s="131" t="s">
        <v>23</v>
      </c>
      <c r="D13" s="132"/>
      <c r="E13" s="131" t="s">
        <v>24</v>
      </c>
      <c r="F13" s="131" t="s">
        <v>25</v>
      </c>
      <c r="G13" s="133" t="s">
        <v>91</v>
      </c>
      <c r="H13" s="134" t="s">
        <v>91</v>
      </c>
      <c r="I13" s="135" t="s">
        <v>92</v>
      </c>
      <c r="J13" s="135" t="s">
        <v>93</v>
      </c>
      <c r="K13" s="136" t="s">
        <v>91</v>
      </c>
      <c r="L13" s="135" t="s">
        <v>91</v>
      </c>
      <c r="M13" s="137" t="s">
        <v>94</v>
      </c>
      <c r="N13" s="138" t="s">
        <v>95</v>
      </c>
      <c r="O13" s="137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ht="18.0" customHeight="1">
      <c r="A14" s="139" t="s">
        <v>96</v>
      </c>
      <c r="B14" s="140"/>
      <c r="C14" s="140"/>
      <c r="D14" s="140"/>
      <c r="E14" s="140"/>
      <c r="F14" s="140"/>
      <c r="G14" s="140"/>
      <c r="H14" s="140"/>
      <c r="I14" s="141"/>
      <c r="J14" s="141"/>
      <c r="K14" s="141"/>
      <c r="L14" s="140"/>
      <c r="M14" s="142"/>
      <c r="N14" s="143"/>
      <c r="O14" s="144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ht="18.0" customHeight="1">
      <c r="A15" s="145" t="s">
        <v>97</v>
      </c>
      <c r="B15" s="146">
        <f>'68-jan'!B16</f>
        <v>31000</v>
      </c>
      <c r="C15" s="146" t="str">
        <f>'68-jan'!C16</f>
        <v/>
      </c>
      <c r="D15" s="146" t="str">
        <f>'68-jan'!D16</f>
        <v/>
      </c>
      <c r="E15" s="146" t="str">
        <f>'68-jan'!E16</f>
        <v/>
      </c>
      <c r="F15" s="146">
        <f>'68-jan'!F16</f>
        <v>0</v>
      </c>
      <c r="G15" s="146">
        <f>'68-jan'!G16</f>
        <v>0</v>
      </c>
      <c r="H15" s="142">
        <f t="shared" ref="H15:H26" si="1">SUM(B15:G15)</f>
        <v>31000</v>
      </c>
      <c r="I15" s="145" t="s">
        <v>98</v>
      </c>
      <c r="J15" s="147">
        <f t="shared" ref="J15:J26" si="2">(15000)*I15</f>
        <v>750</v>
      </c>
      <c r="K15" s="147">
        <f t="shared" ref="K15:K26" si="3">B15*3%</f>
        <v>930</v>
      </c>
      <c r="L15" s="147">
        <f t="shared" ref="L15:L26" si="4">H15-J15-K15</f>
        <v>29320</v>
      </c>
      <c r="M15" s="142">
        <f t="shared" ref="M15:M26" si="5">L15</f>
        <v>29320</v>
      </c>
      <c r="N15" s="145" t="s">
        <v>99</v>
      </c>
      <c r="O15" s="142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ht="18.0" customHeight="1">
      <c r="A16" s="148" t="s">
        <v>100</v>
      </c>
      <c r="B16" s="146">
        <f>'68-Feb'!B16</f>
        <v>31000</v>
      </c>
      <c r="C16" s="146" t="str">
        <f>'68-Feb'!C16</f>
        <v/>
      </c>
      <c r="D16" s="146" t="str">
        <f>'68-Feb'!D16</f>
        <v/>
      </c>
      <c r="E16" s="146" t="str">
        <f>'68-Feb'!E16</f>
        <v/>
      </c>
      <c r="F16" s="146">
        <f>'68-Feb'!F16</f>
        <v>0</v>
      </c>
      <c r="G16" s="146">
        <f>'68-Feb'!G16</f>
        <v>0</v>
      </c>
      <c r="H16" s="142">
        <f t="shared" si="1"/>
        <v>31000</v>
      </c>
      <c r="I16" s="145" t="s">
        <v>98</v>
      </c>
      <c r="J16" s="147">
        <f t="shared" si="2"/>
        <v>750</v>
      </c>
      <c r="K16" s="147">
        <f t="shared" si="3"/>
        <v>930</v>
      </c>
      <c r="L16" s="147">
        <f t="shared" si="4"/>
        <v>29320</v>
      </c>
      <c r="M16" s="142">
        <f t="shared" si="5"/>
        <v>29320</v>
      </c>
      <c r="N16" s="145" t="s">
        <v>101</v>
      </c>
      <c r="O16" s="142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ht="18.0" customHeight="1">
      <c r="A17" s="148" t="s">
        <v>102</v>
      </c>
      <c r="B17" s="146">
        <f>'68-Mar'!B16</f>
        <v>31000</v>
      </c>
      <c r="C17" s="146" t="str">
        <f>'68-Mar'!C16</f>
        <v/>
      </c>
      <c r="D17" s="146" t="str">
        <f>'68-Mar'!D16</f>
        <v/>
      </c>
      <c r="E17" s="146" t="str">
        <f>'68-Mar'!E16</f>
        <v/>
      </c>
      <c r="F17" s="146">
        <f>'68-Mar'!F16</f>
        <v>0</v>
      </c>
      <c r="G17" s="146">
        <f>'68-Mar'!G16</f>
        <v>0</v>
      </c>
      <c r="H17" s="142">
        <f t="shared" si="1"/>
        <v>31000</v>
      </c>
      <c r="I17" s="145" t="s">
        <v>98</v>
      </c>
      <c r="J17" s="147">
        <f t="shared" si="2"/>
        <v>750</v>
      </c>
      <c r="K17" s="147">
        <f t="shared" si="3"/>
        <v>930</v>
      </c>
      <c r="L17" s="147">
        <f t="shared" si="4"/>
        <v>29320</v>
      </c>
      <c r="M17" s="142">
        <f t="shared" si="5"/>
        <v>29320</v>
      </c>
      <c r="N17" s="145" t="s">
        <v>103</v>
      </c>
      <c r="O17" s="142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ht="18.0" customHeight="1">
      <c r="A18" s="148" t="s">
        <v>104</v>
      </c>
      <c r="B18" s="146">
        <f>'68-Apr'!B16</f>
        <v>31000</v>
      </c>
      <c r="C18" s="146" t="str">
        <f>'68-Apr'!C16</f>
        <v/>
      </c>
      <c r="D18" s="146" t="str">
        <f>'68-Apr'!D16</f>
        <v/>
      </c>
      <c r="E18" s="146" t="str">
        <f>'68-Apr'!E16</f>
        <v/>
      </c>
      <c r="F18" s="146">
        <f>'68-Apr'!F16</f>
        <v>0</v>
      </c>
      <c r="G18" s="146">
        <f>'68-Apr'!G16</f>
        <v>0</v>
      </c>
      <c r="H18" s="142">
        <f t="shared" si="1"/>
        <v>31000</v>
      </c>
      <c r="I18" s="145" t="s">
        <v>98</v>
      </c>
      <c r="J18" s="147">
        <f t="shared" si="2"/>
        <v>750</v>
      </c>
      <c r="K18" s="147">
        <f t="shared" si="3"/>
        <v>930</v>
      </c>
      <c r="L18" s="147">
        <f t="shared" si="4"/>
        <v>29320</v>
      </c>
      <c r="M18" s="142">
        <f t="shared" si="5"/>
        <v>29320</v>
      </c>
      <c r="N18" s="145" t="s">
        <v>105</v>
      </c>
      <c r="O18" s="142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ht="18.0" customHeight="1">
      <c r="A19" s="148" t="s">
        <v>106</v>
      </c>
      <c r="B19" s="146">
        <f>'68-May'!B16</f>
        <v>31000</v>
      </c>
      <c r="C19" s="146" t="str">
        <f>'68-May'!C16</f>
        <v/>
      </c>
      <c r="D19" s="146" t="str">
        <f>'68-May'!D16</f>
        <v/>
      </c>
      <c r="E19" s="146" t="str">
        <f>'68-May'!E16</f>
        <v/>
      </c>
      <c r="F19" s="146">
        <f>'68-May'!F16</f>
        <v>0</v>
      </c>
      <c r="G19" s="146">
        <f>'68-May'!G16</f>
        <v>0</v>
      </c>
      <c r="H19" s="142">
        <f t="shared" si="1"/>
        <v>31000</v>
      </c>
      <c r="I19" s="145" t="s">
        <v>98</v>
      </c>
      <c r="J19" s="147">
        <f t="shared" si="2"/>
        <v>750</v>
      </c>
      <c r="K19" s="147">
        <f t="shared" si="3"/>
        <v>930</v>
      </c>
      <c r="L19" s="147">
        <f t="shared" si="4"/>
        <v>29320</v>
      </c>
      <c r="M19" s="142">
        <f t="shared" si="5"/>
        <v>29320</v>
      </c>
      <c r="N19" s="145" t="s">
        <v>107</v>
      </c>
      <c r="O19" s="142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ht="18.0" customHeight="1">
      <c r="A20" s="148" t="s">
        <v>108</v>
      </c>
      <c r="B20" s="146">
        <f>'68-Jun'!B16</f>
        <v>31000</v>
      </c>
      <c r="C20" s="146" t="str">
        <f>'68-Jun'!C16</f>
        <v/>
      </c>
      <c r="D20" s="146" t="str">
        <f>'68-Jun'!D16</f>
        <v/>
      </c>
      <c r="E20" s="146" t="str">
        <f>'68-Jun'!E16</f>
        <v/>
      </c>
      <c r="F20" s="146">
        <f>'68-Jun'!F16</f>
        <v>0</v>
      </c>
      <c r="G20" s="146">
        <f>'68-Jun'!G16</f>
        <v>0</v>
      </c>
      <c r="H20" s="142">
        <f t="shared" si="1"/>
        <v>31000</v>
      </c>
      <c r="I20" s="145" t="s">
        <v>98</v>
      </c>
      <c r="J20" s="147">
        <f t="shared" si="2"/>
        <v>750</v>
      </c>
      <c r="K20" s="147">
        <f t="shared" si="3"/>
        <v>930</v>
      </c>
      <c r="L20" s="147">
        <f t="shared" si="4"/>
        <v>29320</v>
      </c>
      <c r="M20" s="142">
        <f t="shared" si="5"/>
        <v>29320</v>
      </c>
      <c r="N20" s="145" t="s">
        <v>109</v>
      </c>
      <c r="O20" s="142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ht="18.0" customHeight="1">
      <c r="A21" s="148" t="s">
        <v>110</v>
      </c>
      <c r="B21" s="146">
        <f>'68-Jul'!B16</f>
        <v>31000</v>
      </c>
      <c r="C21" s="146" t="str">
        <f>'68-Jul'!C16</f>
        <v/>
      </c>
      <c r="D21" s="146" t="str">
        <f>'68-Jul'!D16</f>
        <v/>
      </c>
      <c r="E21" s="146" t="str">
        <f>'68-Jul'!E16</f>
        <v/>
      </c>
      <c r="F21" s="146">
        <f>'68-Jul'!F16</f>
        <v>0</v>
      </c>
      <c r="G21" s="146">
        <f>'68-Jul'!G16</f>
        <v>0</v>
      </c>
      <c r="H21" s="142">
        <f t="shared" si="1"/>
        <v>31000</v>
      </c>
      <c r="I21" s="145" t="s">
        <v>98</v>
      </c>
      <c r="J21" s="147">
        <f t="shared" si="2"/>
        <v>750</v>
      </c>
      <c r="K21" s="147">
        <f t="shared" si="3"/>
        <v>930</v>
      </c>
      <c r="L21" s="147">
        <f t="shared" si="4"/>
        <v>29320</v>
      </c>
      <c r="M21" s="142">
        <f t="shared" si="5"/>
        <v>29320</v>
      </c>
      <c r="N21" s="145" t="s">
        <v>111</v>
      </c>
      <c r="O21" s="142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ht="18.0" customHeight="1">
      <c r="A22" s="148" t="s">
        <v>112</v>
      </c>
      <c r="B22" s="146">
        <f>'68-Aug'!B16</f>
        <v>31000</v>
      </c>
      <c r="C22" s="146" t="str">
        <f>'68-Aug'!C16</f>
        <v/>
      </c>
      <c r="D22" s="146" t="str">
        <f>'68-Aug'!D16</f>
        <v/>
      </c>
      <c r="E22" s="146" t="str">
        <f>'68-Aug'!E16</f>
        <v/>
      </c>
      <c r="F22" s="146">
        <f>'68-Aug'!F16</f>
        <v>0</v>
      </c>
      <c r="G22" s="146">
        <f>'68-Aug'!G16</f>
        <v>0</v>
      </c>
      <c r="H22" s="142">
        <f t="shared" si="1"/>
        <v>31000</v>
      </c>
      <c r="I22" s="145" t="s">
        <v>98</v>
      </c>
      <c r="J22" s="147">
        <f t="shared" si="2"/>
        <v>750</v>
      </c>
      <c r="K22" s="147">
        <f t="shared" si="3"/>
        <v>930</v>
      </c>
      <c r="L22" s="147">
        <f t="shared" si="4"/>
        <v>29320</v>
      </c>
      <c r="M22" s="142">
        <f t="shared" si="5"/>
        <v>29320</v>
      </c>
      <c r="N22" s="145" t="s">
        <v>113</v>
      </c>
      <c r="O22" s="142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ht="18.0" customHeight="1">
      <c r="A23" s="148" t="s">
        <v>114</v>
      </c>
      <c r="B23" s="146">
        <f>'68-Sep'!B16</f>
        <v>31000</v>
      </c>
      <c r="C23" s="146" t="str">
        <f>'68-Sep'!C16</f>
        <v/>
      </c>
      <c r="D23" s="146" t="str">
        <f>'68-Sep'!D16</f>
        <v/>
      </c>
      <c r="E23" s="146" t="str">
        <f>'68-Sep'!E16</f>
        <v/>
      </c>
      <c r="F23" s="146">
        <f>'68-Sep'!F16</f>
        <v>0</v>
      </c>
      <c r="G23" s="146">
        <f>'68-Sep'!G16</f>
        <v>0</v>
      </c>
      <c r="H23" s="142">
        <f t="shared" si="1"/>
        <v>31000</v>
      </c>
      <c r="I23" s="145" t="s">
        <v>98</v>
      </c>
      <c r="J23" s="147">
        <f t="shared" si="2"/>
        <v>750</v>
      </c>
      <c r="K23" s="147">
        <f t="shared" si="3"/>
        <v>930</v>
      </c>
      <c r="L23" s="147">
        <f t="shared" si="4"/>
        <v>29320</v>
      </c>
      <c r="M23" s="142">
        <f t="shared" si="5"/>
        <v>29320</v>
      </c>
      <c r="N23" s="145" t="s">
        <v>115</v>
      </c>
      <c r="O23" s="142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ht="18.0" customHeight="1">
      <c r="A24" s="148" t="s">
        <v>116</v>
      </c>
      <c r="B24" s="146">
        <f>'68-Oct'!B16</f>
        <v>31000</v>
      </c>
      <c r="C24" s="146" t="str">
        <f>'68-Oct'!C16</f>
        <v/>
      </c>
      <c r="D24" s="146" t="str">
        <f>'68-Oct'!D16</f>
        <v/>
      </c>
      <c r="E24" s="146" t="str">
        <f>'68-Oct'!E16</f>
        <v/>
      </c>
      <c r="F24" s="146">
        <f>'68-Oct'!F16</f>
        <v>0</v>
      </c>
      <c r="G24" s="146">
        <f>'68-Oct'!G16</f>
        <v>0</v>
      </c>
      <c r="H24" s="142">
        <f t="shared" si="1"/>
        <v>31000</v>
      </c>
      <c r="I24" s="145" t="s">
        <v>98</v>
      </c>
      <c r="J24" s="147">
        <f t="shared" si="2"/>
        <v>750</v>
      </c>
      <c r="K24" s="147">
        <f t="shared" si="3"/>
        <v>930</v>
      </c>
      <c r="L24" s="147">
        <f t="shared" si="4"/>
        <v>29320</v>
      </c>
      <c r="M24" s="142">
        <f t="shared" si="5"/>
        <v>29320</v>
      </c>
      <c r="N24" s="145" t="s">
        <v>117</v>
      </c>
      <c r="O24" s="142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ht="18.0" customHeight="1">
      <c r="A25" s="148" t="s">
        <v>118</v>
      </c>
      <c r="B25" s="146">
        <f>'68-Nov'!B16</f>
        <v>31000</v>
      </c>
      <c r="C25" s="146" t="str">
        <f>'68-Nov'!C16</f>
        <v/>
      </c>
      <c r="D25" s="146" t="str">
        <f>'68-Nov'!D16</f>
        <v/>
      </c>
      <c r="E25" s="146" t="str">
        <f>'68-Nov'!E16</f>
        <v/>
      </c>
      <c r="F25" s="146">
        <f>'68-Nov'!F16</f>
        <v>0</v>
      </c>
      <c r="G25" s="146">
        <f>'68-Nov'!G16</f>
        <v>0</v>
      </c>
      <c r="H25" s="142">
        <f t="shared" si="1"/>
        <v>31000</v>
      </c>
      <c r="I25" s="145" t="s">
        <v>98</v>
      </c>
      <c r="J25" s="147">
        <f t="shared" si="2"/>
        <v>750</v>
      </c>
      <c r="K25" s="147">
        <f t="shared" si="3"/>
        <v>930</v>
      </c>
      <c r="L25" s="147">
        <f t="shared" si="4"/>
        <v>29320</v>
      </c>
      <c r="M25" s="142">
        <f t="shared" si="5"/>
        <v>29320</v>
      </c>
      <c r="N25" s="145" t="s">
        <v>119</v>
      </c>
      <c r="O25" s="142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ht="18.0" customHeight="1">
      <c r="A26" s="148" t="s">
        <v>120</v>
      </c>
      <c r="B26" s="146">
        <f>'68-Dec'!B16</f>
        <v>31000</v>
      </c>
      <c r="C26" s="146" t="str">
        <f>'68-Dec'!C16</f>
        <v/>
      </c>
      <c r="D26" s="146" t="str">
        <f>'68-Dec'!D16</f>
        <v/>
      </c>
      <c r="E26" s="146" t="str">
        <f>'68-Dec'!E16</f>
        <v/>
      </c>
      <c r="F26" s="146">
        <f>'68-Dec'!F16</f>
        <v>0</v>
      </c>
      <c r="G26" s="146">
        <f>'68-Dec'!G16</f>
        <v>0</v>
      </c>
      <c r="H26" s="142">
        <f t="shared" si="1"/>
        <v>31000</v>
      </c>
      <c r="I26" s="145" t="s">
        <v>98</v>
      </c>
      <c r="J26" s="147">
        <f t="shared" si="2"/>
        <v>750</v>
      </c>
      <c r="K26" s="147">
        <f t="shared" si="3"/>
        <v>930</v>
      </c>
      <c r="L26" s="147">
        <f t="shared" si="4"/>
        <v>29320</v>
      </c>
      <c r="M26" s="142">
        <f t="shared" si="5"/>
        <v>29320</v>
      </c>
      <c r="N26" s="145" t="s">
        <v>121</v>
      </c>
      <c r="O26" s="142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ht="18.0" customHeight="1">
      <c r="A27" s="149"/>
      <c r="B27" s="150"/>
      <c r="C27" s="151"/>
      <c r="D27" s="151"/>
      <c r="E27" s="151"/>
      <c r="F27" s="151"/>
      <c r="G27" s="151"/>
      <c r="H27" s="150"/>
      <c r="I27" s="149"/>
      <c r="J27" s="152"/>
      <c r="K27" s="149"/>
      <c r="L27" s="150"/>
      <c r="M27" s="150"/>
      <c r="N27" s="153"/>
      <c r="O27" s="150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ht="18.0" customHeight="1">
      <c r="A28" s="154" t="s">
        <v>122</v>
      </c>
      <c r="B28" s="155">
        <f t="shared" ref="B28:H28" si="6">SUM(B15:B27)</f>
        <v>372000</v>
      </c>
      <c r="C28" s="155">
        <f t="shared" si="6"/>
        <v>0</v>
      </c>
      <c r="D28" s="155">
        <f t="shared" si="6"/>
        <v>0</v>
      </c>
      <c r="E28" s="155">
        <f t="shared" si="6"/>
        <v>0</v>
      </c>
      <c r="F28" s="155">
        <f t="shared" si="6"/>
        <v>0</v>
      </c>
      <c r="G28" s="155">
        <f t="shared" si="6"/>
        <v>0</v>
      </c>
      <c r="H28" s="155">
        <f t="shared" si="6"/>
        <v>372000</v>
      </c>
      <c r="I28" s="156"/>
      <c r="J28" s="156">
        <f t="shared" ref="J28:M28" si="7">SUM(J15:J27)</f>
        <v>9000</v>
      </c>
      <c r="K28" s="156">
        <f t="shared" si="7"/>
        <v>11160</v>
      </c>
      <c r="L28" s="155">
        <f t="shared" si="7"/>
        <v>351840</v>
      </c>
      <c r="M28" s="157">
        <f t="shared" si="7"/>
        <v>351840</v>
      </c>
      <c r="N28" s="158"/>
      <c r="O28" s="157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ht="18.0" customHeight="1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ht="18.0" customHeight="1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ht="18.0" customHeight="1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ht="18.0" customHeight="1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ht="18.0" customHeight="1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ht="18.0" customHeight="1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ht="18.0" customHeight="1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ht="18.0" customHeight="1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ht="18.0" customHeight="1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ht="18.0" customHeight="1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ht="18.0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ht="18.0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ht="18.0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ht="18.0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ht="18.0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ht="18.0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ht="18.0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ht="18.0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ht="18.0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ht="18.0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ht="18.0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ht="18.0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ht="18.0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ht="18.0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ht="18.0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ht="18.0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ht="18.0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ht="18.0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ht="18.0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ht="18.0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ht="18.0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ht="18.0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ht="18.0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ht="18.0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ht="18.0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ht="18.0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ht="18.0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ht="18.0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ht="18.0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ht="18.0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ht="18.0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ht="18.0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ht="18.0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ht="18.0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ht="18.0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ht="18.0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ht="18.0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ht="18.0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ht="18.0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ht="18.0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ht="18.0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ht="18.0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ht="18.0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ht="18.0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ht="18.0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ht="18.0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ht="18.0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ht="18.0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ht="18.0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ht="18.0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ht="18.0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ht="18.0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ht="18.0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ht="18.0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ht="18.0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ht="18.0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ht="18.0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ht="18.0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ht="18.0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ht="18.0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ht="18.0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ht="18.0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ht="18.0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ht="18.0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ht="18.0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ht="18.0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ht="18.0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ht="18.0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ht="18.0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ht="18.0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ht="18.0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ht="18.0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ht="18.0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ht="18.0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ht="18.0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ht="18.0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ht="18.0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ht="18.0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ht="18.0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ht="18.0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ht="18.0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ht="18.0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ht="18.0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ht="18.0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ht="18.0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ht="18.0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ht="18.0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ht="18.0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ht="18.0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ht="18.0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ht="18.0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ht="18.0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ht="18.0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ht="18.0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ht="18.0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ht="18.0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ht="18.0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ht="18.0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ht="18.0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ht="18.0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ht="18.0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ht="18.0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ht="18.0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ht="18.0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ht="18.0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ht="18.0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ht="18.0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ht="18.0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ht="18.0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ht="18.0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ht="18.0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ht="18.0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ht="18.0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ht="18.0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ht="18.0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ht="18.0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ht="18.0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 ht="18.0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 ht="18.0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 ht="18.0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 ht="18.0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 ht="18.0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 ht="18.0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 ht="18.0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 ht="18.0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 ht="18.0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 ht="18.0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 ht="18.0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 ht="18.0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 ht="18.0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 ht="18.0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 ht="18.0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 ht="18.0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 ht="18.0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 ht="18.0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 ht="18.0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 ht="18.0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 ht="18.0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 ht="18.0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 ht="18.0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 ht="18.0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 ht="18.0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 ht="18.0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 ht="18.0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 ht="18.0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 ht="18.0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 ht="18.0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 ht="18.0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 ht="18.0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 ht="18.0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ht="18.0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 ht="18.0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 ht="18.0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ht="18.0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 ht="18.0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 ht="18.0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ht="18.0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ht="18.0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ht="18.0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ht="18.0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ht="18.0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 ht="18.0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 ht="18.0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 ht="18.0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 ht="18.0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ht="18.0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 ht="18.0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 ht="18.0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ht="18.0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ht="18.0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ht="18.0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ht="18.0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ht="18.0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ht="18.0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 ht="18.0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 ht="18.0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 ht="18.0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 ht="18.0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 ht="18.0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 ht="18.0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 ht="18.0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 ht="18.0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 ht="18.0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 ht="18.0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 ht="18.0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 ht="18.0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 ht="18.0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 ht="18.0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 ht="18.0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 ht="18.0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 ht="18.0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 ht="18.0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 ht="18.0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 ht="18.0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 ht="18.0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 ht="18.0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 ht="18.0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 ht="18.0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 ht="18.0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 ht="18.0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 ht="18.0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 ht="18.0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 ht="18.0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 ht="18.0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 ht="18.0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 ht="18.0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 ht="18.0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 ht="18.0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 ht="18.0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 ht="18.0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 ht="18.0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 ht="18.0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 ht="18.0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 ht="18.0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 ht="18.0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 ht="18.0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 ht="18.0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 ht="18.0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 ht="18.0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 ht="18.0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 ht="18.0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 ht="18.0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 ht="18.0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 ht="18.0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 ht="18.0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 ht="18.0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 ht="18.0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 ht="18.0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 ht="18.0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 ht="18.0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 ht="18.0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 ht="18.0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 ht="18.0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 ht="18.0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 ht="18.0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 ht="18.0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 ht="18.0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 ht="18.0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 ht="18.0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 ht="18.0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 ht="18.0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 ht="18.0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 ht="18.0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 ht="18.0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 ht="18.0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 ht="18.0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 ht="18.0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 ht="18.0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 ht="18.0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 ht="18.0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 ht="18.0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 ht="18.0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 ht="18.0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 ht="18.0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 ht="18.0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 ht="18.0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 ht="18.0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 ht="18.0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 ht="18.0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 ht="18.0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 ht="18.0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 ht="18.0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 ht="18.0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 ht="18.0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 ht="18.0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 ht="18.0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 ht="18.0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 ht="18.0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 ht="18.0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 ht="18.0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 ht="18.0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 ht="18.0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 ht="18.0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 ht="18.0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 ht="18.0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 ht="18.0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 ht="18.0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 ht="18.0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 ht="18.0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 ht="18.0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 ht="18.0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 ht="18.0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 ht="18.0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 ht="18.0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 ht="18.0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 ht="18.0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 ht="18.0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 ht="18.0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 ht="18.0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 ht="18.0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 ht="18.0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 ht="18.0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 ht="18.0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 ht="18.0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 ht="18.0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 ht="18.0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 ht="18.0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 ht="18.0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 ht="18.0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 ht="18.0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 ht="18.0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 ht="18.0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 ht="18.0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 ht="18.0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 ht="18.0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 ht="18.0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 ht="18.0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 ht="18.0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 ht="18.0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 ht="18.0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 ht="18.0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 ht="18.0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 ht="18.0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 ht="18.0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 ht="18.0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 ht="18.0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 ht="18.0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 ht="18.0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 ht="18.0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 ht="18.0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 ht="18.0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 ht="18.0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 ht="18.0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 ht="18.0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 ht="18.0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 ht="18.0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 ht="18.0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 ht="18.0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 ht="18.0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 ht="18.0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 ht="18.0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 ht="18.0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 ht="18.0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 ht="18.0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 ht="18.0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 ht="18.0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 ht="18.0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 ht="18.0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 ht="18.0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 ht="18.0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 ht="18.0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 ht="18.0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 ht="18.0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 ht="18.0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 ht="18.0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 ht="18.0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 ht="18.0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 ht="18.0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 ht="18.0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 ht="18.0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 ht="18.0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 ht="18.0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 ht="18.0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 ht="18.0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 ht="18.0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 ht="18.0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 ht="18.0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 ht="18.0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 ht="18.0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 ht="18.0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 ht="18.0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 ht="18.0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 ht="18.0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 ht="18.0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 ht="18.0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 ht="18.0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 ht="18.0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 ht="18.0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 ht="18.0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 ht="18.0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 ht="18.0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 ht="18.0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 ht="18.0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 ht="18.0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 ht="18.0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 ht="18.0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 ht="18.0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 ht="18.0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 ht="18.0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 ht="18.0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 ht="18.0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 ht="18.0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 ht="18.0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 ht="18.0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 ht="18.0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 ht="18.0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 ht="18.0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 ht="18.0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 ht="18.0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 ht="18.0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 ht="18.0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 ht="18.0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 ht="18.0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 ht="18.0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 ht="18.0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 ht="18.0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 ht="18.0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 ht="18.0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 ht="18.0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 ht="18.0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 ht="18.0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 ht="18.0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 ht="18.0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 ht="18.0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 ht="18.0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 ht="18.0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 ht="18.0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 ht="18.0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 ht="18.0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 ht="18.0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 ht="18.0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 ht="18.0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 ht="18.0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 ht="18.0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 ht="18.0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 ht="18.0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 ht="18.0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 ht="18.0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 ht="18.0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 ht="18.0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 ht="18.0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 ht="18.0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 ht="18.0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 ht="18.0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 ht="18.0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 ht="18.0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 ht="18.0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 ht="18.0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 ht="18.0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 ht="18.0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 ht="18.0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 ht="18.0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 ht="18.0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 ht="18.0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 ht="18.0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 ht="18.0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 ht="18.0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 ht="18.0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 ht="18.0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 ht="18.0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 ht="18.0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 ht="18.0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 ht="18.0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 ht="18.0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 ht="18.0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 ht="18.0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 ht="18.0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 ht="18.0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 ht="18.0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 ht="18.0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 ht="18.0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 ht="18.0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 ht="18.0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 ht="18.0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 ht="18.0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 ht="18.0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 ht="18.0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 ht="18.0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 ht="18.0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 ht="18.0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 ht="18.0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 ht="18.0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 ht="18.0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 ht="18.0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 ht="18.0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 ht="18.0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 ht="18.0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 ht="18.0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 ht="18.0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 ht="18.0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 ht="18.0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 ht="18.0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 ht="18.0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 ht="18.0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 ht="18.0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 ht="18.0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 ht="18.0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 ht="18.0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 ht="18.0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 ht="18.0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 ht="18.0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 ht="18.0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 ht="18.0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 ht="18.0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 ht="18.0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 ht="18.0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 ht="18.0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 ht="18.0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 ht="18.0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 ht="18.0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 ht="18.0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 ht="18.0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 ht="18.0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 ht="18.0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 ht="18.0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 ht="18.0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 ht="18.0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 ht="18.0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 ht="18.0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 ht="18.0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 ht="18.0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 ht="18.0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 ht="18.0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 ht="18.0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 ht="18.0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 ht="18.0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 ht="18.0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 ht="18.0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 ht="18.0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 ht="18.0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 ht="18.0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 ht="18.0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 ht="18.0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 ht="18.0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 ht="18.0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 ht="18.0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 ht="18.0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 ht="18.0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 ht="18.0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 ht="18.0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 ht="18.0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 ht="18.0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 ht="18.0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 ht="18.0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 ht="18.0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 ht="18.0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 ht="18.0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 ht="18.0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 ht="18.0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 ht="18.0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 ht="18.0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 ht="18.0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 ht="18.0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 ht="18.0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 ht="18.0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 ht="18.0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 ht="18.0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 ht="18.0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 ht="18.0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 ht="18.0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 ht="18.0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 ht="18.0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 ht="18.0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 ht="18.0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 ht="18.0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 ht="18.0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 ht="18.0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 ht="18.0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 ht="18.0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 ht="18.0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 ht="18.0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 ht="18.0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 ht="18.0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 ht="18.0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 ht="18.0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 ht="18.0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 ht="18.0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 ht="18.0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 ht="18.0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 ht="18.0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 ht="18.0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 ht="18.0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 ht="18.0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 ht="18.0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 ht="18.0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 ht="18.0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 ht="18.0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 ht="18.0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 ht="18.0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 ht="18.0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 ht="18.0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 ht="18.0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 ht="18.0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 ht="18.0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 ht="18.0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 ht="18.0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 ht="18.0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 ht="18.0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 ht="18.0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 ht="18.0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 ht="18.0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 ht="18.0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 ht="18.0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 ht="18.0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 ht="18.0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 ht="18.0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 ht="18.0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 ht="18.0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 ht="18.0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 ht="18.0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 ht="18.0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 ht="18.0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 ht="18.0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 ht="18.0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 ht="18.0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 ht="18.0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 ht="18.0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 ht="18.0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 ht="18.0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 ht="18.0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 ht="18.0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 ht="18.0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 ht="18.0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 ht="18.0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 ht="18.0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 ht="18.0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 ht="18.0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 ht="18.0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 ht="18.0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 ht="18.0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 ht="18.0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 ht="18.0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 ht="18.0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 ht="18.0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 ht="18.0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 ht="18.0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 ht="18.0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 ht="18.0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 ht="18.0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 ht="18.0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 ht="18.0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 ht="18.0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 ht="18.0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 ht="18.0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 ht="18.0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 ht="18.0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 ht="18.0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 ht="18.0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 ht="18.0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 ht="18.0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 ht="18.0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 ht="18.0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 ht="18.0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 ht="18.0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 ht="18.0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 ht="18.0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 ht="18.0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 ht="18.0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 ht="18.0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 ht="18.0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 ht="18.0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 ht="18.0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 ht="18.0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 ht="18.0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 ht="18.0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 ht="18.0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 ht="18.0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 ht="18.0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 ht="18.0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 ht="18.0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 ht="18.0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 ht="18.0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 ht="18.0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 ht="18.0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 ht="18.0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 ht="18.0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 ht="18.0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 ht="18.0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 ht="18.0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 ht="18.0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 ht="18.0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 ht="18.0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 ht="18.0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 ht="18.0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 ht="18.0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 ht="18.0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 ht="18.0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 ht="18.0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 ht="18.0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 ht="18.0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 ht="18.0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 ht="18.0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 ht="18.0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 ht="18.0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 ht="18.0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 ht="18.0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 ht="18.0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 ht="18.0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 ht="18.0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 ht="18.0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 ht="18.0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 ht="18.0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 ht="18.0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 ht="18.0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 ht="18.0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 ht="18.0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 ht="18.0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 ht="18.0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 ht="18.0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 ht="18.0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 ht="18.0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 ht="18.0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 ht="18.0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 ht="18.0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 ht="18.0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 ht="18.0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 ht="18.0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 ht="18.0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 ht="18.0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 ht="18.0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 ht="18.0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 ht="18.0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 ht="18.0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 ht="18.0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 ht="18.0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 ht="18.0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 ht="18.0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 ht="18.0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 ht="18.0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 ht="18.0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 ht="18.0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 ht="18.0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 ht="18.0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 ht="18.0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 ht="18.0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 ht="18.0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 ht="18.0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 ht="18.0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 ht="18.0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 ht="18.0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 ht="18.0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 ht="18.0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 ht="18.0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 ht="18.0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 ht="18.0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 ht="18.0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 ht="18.0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 ht="18.0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 ht="18.0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 ht="18.0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 ht="18.0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 ht="18.0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 ht="18.0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 ht="18.0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 ht="18.0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 ht="18.0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 ht="18.0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 ht="18.0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 ht="18.0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 ht="18.0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 ht="18.0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 ht="18.0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 ht="18.0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 ht="18.0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 ht="18.0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 ht="18.0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 ht="18.0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 ht="18.0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 ht="18.0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 ht="18.0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 ht="18.0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 ht="18.0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 ht="18.0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 ht="18.0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 ht="18.0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 ht="18.0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 ht="18.0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 ht="18.0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 ht="18.0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 ht="18.0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 ht="18.0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 ht="18.0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 ht="18.0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 ht="18.0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 ht="18.0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 ht="18.0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 ht="18.0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 ht="18.0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 ht="18.0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 ht="18.0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 ht="18.0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 ht="18.0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 ht="18.0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 ht="18.0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 ht="18.0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 ht="18.0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 ht="18.0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 ht="18.0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 ht="18.0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 ht="18.0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 ht="18.0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 ht="18.0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 ht="18.0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 ht="18.0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 ht="18.0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 ht="18.0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 ht="18.0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 ht="18.0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 ht="18.0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 ht="18.0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 ht="18.0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 ht="18.0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 ht="18.0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 ht="18.0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 ht="18.0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 ht="18.0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 ht="18.0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 ht="18.0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 ht="18.0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 ht="18.0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 ht="18.0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 ht="18.0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 ht="18.0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 ht="18.0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 ht="18.0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 ht="18.0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 ht="18.0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 ht="18.0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 ht="18.0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 ht="18.0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 ht="18.0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 ht="18.0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 ht="18.0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 ht="18.0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 ht="18.0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 ht="18.0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 ht="18.0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 ht="18.0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 ht="18.0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 ht="18.0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 ht="18.0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 ht="18.0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 ht="18.0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 ht="18.0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 ht="18.0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 ht="18.0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 ht="18.0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 ht="18.0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 ht="18.0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 ht="18.0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 ht="18.0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 ht="18.0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 ht="18.0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 ht="18.0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 ht="18.0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 ht="18.0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 ht="18.0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 ht="18.0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 ht="18.0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 ht="18.0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 ht="18.0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 ht="18.0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 ht="18.0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 ht="18.0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 ht="18.0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 ht="18.0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 ht="18.0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 ht="18.0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 ht="18.0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 ht="18.0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 ht="18.0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 ht="18.0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 ht="18.0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 ht="18.0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 ht="18.0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 ht="18.0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 ht="18.0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 ht="18.0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 ht="18.0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 ht="18.0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 ht="18.0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 ht="18.0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 ht="18.0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 ht="18.0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 ht="18.0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 ht="18.0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 ht="18.0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 ht="18.0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 ht="18.0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 ht="18.0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 ht="18.0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 ht="18.0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 ht="18.0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 ht="18.0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 ht="18.0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 ht="18.0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 ht="18.0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 ht="18.0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 ht="18.0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 ht="18.0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 ht="18.0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 ht="18.0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 ht="18.0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 ht="18.0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 ht="18.0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 ht="18.0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 ht="18.0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 ht="18.0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 ht="18.0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 ht="18.0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 ht="18.0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 ht="18.0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 ht="18.0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 ht="18.0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 ht="18.0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 ht="18.0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 ht="18.0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 ht="18.0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 ht="18.0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 ht="18.0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 ht="18.0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 ht="18.0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 ht="18.0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 ht="18.0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 ht="18.0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 ht="18.0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 ht="18.0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 ht="18.0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 ht="18.0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 ht="18.0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 ht="18.0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 ht="18.0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 ht="18.0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 ht="18.0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 ht="18.0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 ht="18.0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 ht="18.0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 ht="18.0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 ht="18.0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 ht="18.0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 ht="18.0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 ht="18.0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 ht="18.0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 ht="18.0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 ht="18.0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 ht="18.0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 ht="18.0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 ht="18.0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 ht="18.0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 ht="18.0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 ht="18.0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 ht="18.0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 ht="18.0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 ht="18.0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 ht="18.0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 ht="18.0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 ht="18.0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 ht="18.0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 ht="18.0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 ht="18.0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 ht="18.0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 ht="18.0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 ht="18.0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 ht="18.0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 ht="18.0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 ht="18.0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 ht="18.0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 ht="18.0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 ht="18.0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 ht="18.0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 ht="18.0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 ht="18.0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 ht="18.0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 ht="18.0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 ht="18.0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 ht="18.0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 ht="18.0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 ht="18.0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 ht="18.0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 ht="18.0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 ht="18.0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 ht="18.0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</sheetData>
  <mergeCells count="4">
    <mergeCell ref="A1:O1"/>
    <mergeCell ref="A2:O2"/>
    <mergeCell ref="A3:O3"/>
    <mergeCell ref="M12:N12"/>
  </mergeCells>
  <printOptions/>
  <pageMargins bottom="0.15748031496062992" footer="0.0" header="0.0" left="0.6299212598425197" right="0.11811023622047245" top="0.35433070866141736"/>
  <pageSetup scale="90" orientation="landscape"/>
  <drawing r:id="rId1"/>
</worksheet>
</file>