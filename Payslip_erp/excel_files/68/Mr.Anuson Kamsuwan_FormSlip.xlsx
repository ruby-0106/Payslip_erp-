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EA2FC5B5-CE2D-4EB0-AAB5-445AAB84CBE9}" xr6:coauthVersionLast="37" xr6:coauthVersionMax="47" xr10:uidLastSave="{00000000-0000-0000-0000-000000000000}"/>
  <bookViews>
    <workbookView xWindow="0" yWindow="0" windowWidth="23040" windowHeight="9084" tabRatio="601" firstSheet="1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 l="1"/>
  <c r="B16" i="58"/>
  <c r="B16" i="28"/>
  <c r="B16" i="50" l="1"/>
  <c r="B16" i="51"/>
  <c r="B16" i="52"/>
  <c r="B16" i="53"/>
  <c r="B16" i="54"/>
  <c r="B16" i="55"/>
  <c r="B16" i="56"/>
  <c r="B16" i="57"/>
  <c r="D24" i="54" l="1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<sst xmlns="http://schemas.openxmlformats.org/spreadsheetml/2006/main" count="721" uniqueCount="122">
  <si>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</si>
  <si>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</si>
  <si>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</si>
  <si>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</si>
  <si>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</si>
  <si>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</si>
  <si>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</si>
  <si>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</si>
  <si>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</si>
  <si>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</si>
  <si>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</si>
  <si>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</si>
  <si>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</si>
  <si>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</si>
  <si>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</si>
  <si>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</si>
  <si>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</si>
  <si>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</si>
  <si>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</si>
  <si>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</si>
  <si>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</si>
  <si>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</si>
  <si>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</si>
  <si>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</si>
  <si>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</si>
  <si>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</si>
  <si>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</si>
  <si>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</si>
  <si>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</si>
  <si>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</si>
  <si>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</si>
  <si>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</si>
  <si>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</si>
  <si>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</si>
  <si>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</si>
  <si>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</si>
  <si>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</si>
  <si>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</si>
  <si>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</si>
  <si>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</si>
  <si>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</si>
  <si>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</si>
  <si>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</si>
  <si>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</si>
  <si>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</si>
  <si>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</si>
  <si>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</si>
  <si>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</si>
  <si>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</si>
  <si>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</si>
  <si>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</si>
  <si>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</si>
  <si>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</si>
  <si>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</si>
  <si>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</si>
  <si>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</si>
  <si>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</si>
  <si>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</si>
  <si>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</si>
  <si>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</si>
  <si>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</si>
  <si>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</si>
  <si>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</si>
  <si>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</si>
  <si>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</si>
  <si>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</si>
  <si>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</si>
  <si>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</si>
  <si>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</si>
  <si>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</si>
  <si>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</si>
  <si>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</si>
  <si>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</si>
  <si>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</si>
  <si>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</si>
  <si>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</si>
  <si>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</si>
  <si>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</si>
  <si>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</si>
  <si>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</si>
  <si>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</si>
  <si>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</si>
  <si>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</si>
  <si>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</si>
  <si>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</si>
  <si>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</si>
  <si>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</si>
  <si>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</si>
  <si>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</si>
  <si>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</si>
  <si>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</si>
  <si>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</si>
  <si>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</si>
  <si>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</si>
  <si>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</si>
  <si>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</si>
  <si>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</si>
  <si>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</si>
  <si>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</si>
  <si>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</si>
  <si>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</si>
  <si>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</si>
  <si>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</si>
  <si>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</si>
  <si>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</si>
  <si>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</si>
  <si>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</si>
  <si>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</si>
  <si>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</si>
  <si>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</si>
  <si>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</si>
  <si>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</si>
  <si>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</si>
  <si>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</si>
  <si>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</si>
  <si>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</si>
  <si>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</si>
  <si>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</si>
  <si>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Mr.Anuson Kamsuwan</t>
  </si>
  <si>
    <t>นายอนุสรณ์ คำสุวรรณ์</t>
  </si>
  <si>
    <t>661106</t>
  </si>
  <si>
    <t>1209000174062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</si>
</sst>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3" zoomScale="120" zoomScaleNormal="12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15712+750</f>
        <v>16462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16462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16462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15712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15222+750</f>
        <v>15972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15972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32434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15222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17163+750</f>
        <v>17913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17913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I16+'68-Feb'!B24</f>
        <v>50347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17163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15199+750</f>
        <v>15949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15949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I16+'68-Mar'!B24</f>
        <v>66296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15199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15625+750</f>
        <v>16375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16375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I16+'68-Apr'!B24</f>
        <v>82671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15625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3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15440+750</f>
        <v>16190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16190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I16+'68-May'!B24</f>
        <v>98861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15440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16778+750</f>
        <v>17528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17528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I16+'68-Jun'!B24</f>
        <v>116389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16778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7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16525+750</f>
        <v>17275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17275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I16+'68-Jul'!B24</f>
        <v>133664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16525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16400+750</f>
        <v>17150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17150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I16+'68-Aug'!B24</f>
        <v>150814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16400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17287+750</f>
        <v>18037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18037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I16+'68-Sep'!B24</f>
        <v>168851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17287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2" zoomScale="110" zoomScaleNormal="110" workbookViewId="0">
      <selection activeCell="G28" sqref="G28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17040+750</f>
        <v>17790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17790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I16+'68-Oct'!B24</f>
        <v>186641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17040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3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661106</v>
      </c>
      <c r="G7" s="144" t="str">
        <f>+'ใบสรุป-68'!D6</f>
        <v>1209000174062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16400+750</f>
        <v>17150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17150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I16+'68-Nov'!B24</f>
        <v>203791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16400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C11" sqref="C11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0" t="s">
        <v>118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5" t="s">
        <v>2</v>
      </c>
      <c r="B5" s="136"/>
      <c r="C5" s="142" t="s">
        <v>119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7"/>
      <c r="C6" s="150" t="s">
        <v>120</v>
      </c>
      <c r="D6" s="150" t="s">
        <v>121</v>
      </c>
      <c r="E6" s="133"/>
      <c r="F6" s="79"/>
      <c r="G6" s="79"/>
      <c r="H6" s="79"/>
      <c r="I6" s="80"/>
      <c r="J6" s="80"/>
      <c r="L6" s="81"/>
    </row>
    <row r="7" spans="1:15" ht="21" thickBot="1" x14ac:dyDescent="0.3">
      <c r="A7" s="138" t="s">
        <v>24</v>
      </c>
      <c r="B7" s="139"/>
      <c r="C7" s="132" t="s">
        <v>107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8" t="s">
        <v>32</v>
      </c>
      <c r="B9" s="139"/>
      <c r="C9" s="129" t="s">
        <v>107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>
        <v>243415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16462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16462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15712</v>
      </c>
      <c r="M15" s="107">
        <f>L15</f>
        <v>15712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15972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15972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15222</v>
      </c>
      <c r="M16" s="107">
        <f t="shared" ref="M16:M26" si="4">L16</f>
        <v>15222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17913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17913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17163</v>
      </c>
      <c r="M17" s="107">
        <f t="shared" si="4"/>
        <v>17163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15949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15949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15199</v>
      </c>
      <c r="M18" s="107">
        <f t="shared" si="4"/>
        <v>15199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16375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16375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15625</v>
      </c>
      <c r="M19" s="107">
        <f t="shared" si="4"/>
        <v>15625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16190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16190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15440</v>
      </c>
      <c r="M20" s="107">
        <f t="shared" si="4"/>
        <v>15440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17528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17528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16778</v>
      </c>
      <c r="M21" s="107">
        <f t="shared" si="4"/>
        <v>16778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17275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17275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16525</v>
      </c>
      <c r="M22" s="107">
        <f t="shared" si="4"/>
        <v>16525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17150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17150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16400</v>
      </c>
      <c r="M23" s="107">
        <f t="shared" si="4"/>
        <v>16400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18037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18037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17287</v>
      </c>
      <c r="M24" s="107">
        <f t="shared" si="4"/>
        <v>17287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17790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17790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17040</v>
      </c>
      <c r="M25" s="107">
        <f t="shared" si="4"/>
        <v>17040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17150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17150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16400</v>
      </c>
      <c r="M26" s="107">
        <f t="shared" si="4"/>
        <v>16400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203791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203791</v>
      </c>
      <c r="I28" s="120"/>
      <c r="J28" s="120">
        <f>SUM(J15:J27)</f>
        <v>9000</v>
      </c>
      <c r="K28" s="120">
        <f>SUM(K15:K27)</f>
        <v>0</v>
      </c>
      <c r="L28" s="119">
        <f>SUM(L15:L27)</f>
        <v>194791</v>
      </c>
      <c r="M28" s="121">
        <f>SUM(M15:M27)</f>
        <v>194791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2026-01-07T01:56:24Z</dcterms:modified>
</cp:coreProperties>
</file>