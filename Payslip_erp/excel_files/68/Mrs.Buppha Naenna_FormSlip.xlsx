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2918F68F-CCEC-4AE2-AED6-19B3491E78C8}" xr6:coauthVersionLast="37" xr6:coauthVersionMax="47" xr10:uidLastSave="{00000000-0000-0000-0000-000000000000}"/>
  <bookViews>
    <workbookView xWindow="0" yWindow="0" windowWidth="23040" windowHeight="9084" tabRatio="601" firstSheet="8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/>
  <c r="M17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<sst xmlns="http://schemas.openxmlformats.org/spreadsheetml/2006/main" count="722" uniqueCount="124">
  <si>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</si>
  <si>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</si>
  <si>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</si>
  <si>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</si>
  <si>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</si>
  <si>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</si>
  <si>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</si>
  <si>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</si>
  <si>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</si>
  <si>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</si>
  <si>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</si>
  <si>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</si>
  <si>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</si>
  <si>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</si>
  <si>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</si>
  <si>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</si>
  <si>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</si>
  <si>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</si>
  <si>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</si>
  <si>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</si>
  <si>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</si>
  <si>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</si>
  <si>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</si>
  <si>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</si>
  <si>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</si>
  <si>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</si>
  <si>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</si>
  <si>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</si>
  <si>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</si>
  <si>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</si>
  <si>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</si>
  <si>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</si>
  <si>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</si>
  <si>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</si>
  <si>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</si>
  <si>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</si>
  <si>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</si>
  <si>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</si>
  <si>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</si>
  <si>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</si>
  <si>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</si>
  <si>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</si>
  <si>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</si>
  <si>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</si>
  <si>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</si>
  <si>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</si>
  <si>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</si>
  <si>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</si>
  <si>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</si>
  <si>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</si>
  <si>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</si>
  <si>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</si>
  <si>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</si>
  <si>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</si>
  <si>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</si>
  <si>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</si>
  <si>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</si>
  <si>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</si>
  <si>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</si>
  <si>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</si>
  <si>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</si>
  <si>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</si>
  <si>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</si>
  <si>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</si>
  <si>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</si>
  <si>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</si>
  <si>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</si>
  <si>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</si>
  <si>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</si>
  <si>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</si>
  <si>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</si>
  <si>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</si>
  <si>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</si>
  <si>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</si>
  <si>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</si>
  <si>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</si>
  <si>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</si>
  <si>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</si>
  <si>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</si>
  <si>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</si>
  <si>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</si>
  <si>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</si>
  <si>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</si>
  <si>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</si>
  <si>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</si>
  <si>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</si>
  <si>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</si>
  <si>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</si>
  <si>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</si>
  <si>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</si>
  <si>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</si>
  <si>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</si>
  <si>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</si>
  <si>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</si>
  <si>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</si>
  <si>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</si>
  <si>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</si>
  <si>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</si>
  <si>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</si>
  <si>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</si>
  <si>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</si>
  <si>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</si>
  <si>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</si>
  <si>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</si>
  <si>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</si>
  <si>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</si>
  <si>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</si>
  <si>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</si>
  <si>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</si>
  <si>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</si>
  <si>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</si>
  <si>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</si>
  <si>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</si>
  <si>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</si>
  <si>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</si>
  <si>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</si>
  <si>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</si>
  <si>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Mrs.Buppha Naenna</t>
  </si>
  <si>
    <t>590125</t>
  </si>
  <si>
    <t>3200500266789</t>
  </si>
  <si>
    <t>นางบุปผา  แน่นหนา</t>
  </si>
  <si>
    <t>Facility Management Department</t>
  </si>
  <si>
    <t>Maid</t>
  </si>
  <si>
    <t>25/1/2559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</si>
</sst>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12000+750</f>
        <v>12750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12750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12750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12000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12000+750</f>
        <v>12750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12750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25500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12000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D17" sqref="D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4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Facility Management Department</v>
      </c>
      <c r="G8" s="69"/>
      <c r="H8" s="47"/>
      <c r="I8" s="64" t="s">
        <v>116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Maid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12000+750</f>
        <v>12750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12750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38250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12000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M18" sqref="M18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117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120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118</v>
      </c>
      <c r="D6" s="150" t="s">
        <v>119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121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122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 t="s">
        <v>123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107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108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109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110</v>
      </c>
      <c r="O21" s="107"/>
    </row>
    <row r="22" spans="1:15" x14ac:dyDescent="0.25">
      <c r="A22" s="112" t="s">
        <v>63</v>
      </c>
      <c r="B22" s="110">
        <f>'68-Aug'!B16</f>
        <v>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-750</v>
      </c>
      <c r="M22" s="107">
        <f t="shared" si="4"/>
        <v>-750</v>
      </c>
      <c r="N22" s="41" t="s">
        <v>111</v>
      </c>
      <c r="O22" s="107"/>
    </row>
    <row r="23" spans="1:15" x14ac:dyDescent="0.25">
      <c r="A23" s="112" t="s">
        <v>64</v>
      </c>
      <c r="B23" s="110">
        <f>'68-Sep'!B16</f>
        <v>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-750</v>
      </c>
      <c r="M23" s="107">
        <f t="shared" si="4"/>
        <v>-750</v>
      </c>
      <c r="N23" s="41" t="s">
        <v>112</v>
      </c>
      <c r="O23" s="107"/>
    </row>
    <row r="24" spans="1:15" x14ac:dyDescent="0.25">
      <c r="A24" s="112" t="s">
        <v>65</v>
      </c>
      <c r="B24" s="110">
        <f>'68-Oct'!B16</f>
        <v>12750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12750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12000</v>
      </c>
      <c r="M24" s="107">
        <f t="shared" si="4"/>
        <v>12000</v>
      </c>
      <c r="N24" s="41" t="s">
        <v>113</v>
      </c>
      <c r="O24" s="107"/>
    </row>
    <row r="25" spans="1:15" x14ac:dyDescent="0.25">
      <c r="A25" s="112" t="s">
        <v>66</v>
      </c>
      <c r="B25" s="110">
        <f>'68-Nov'!B16</f>
        <v>12750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12750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12000</v>
      </c>
      <c r="M25" s="107">
        <f t="shared" si="4"/>
        <v>12000</v>
      </c>
      <c r="N25" s="41" t="s">
        <v>114</v>
      </c>
      <c r="O25" s="107"/>
    </row>
    <row r="26" spans="1:15" x14ac:dyDescent="0.25">
      <c r="A26" s="112" t="s">
        <v>67</v>
      </c>
      <c r="B26" s="110">
        <f>'68-Dec'!B16</f>
        <v>12750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12750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12000</v>
      </c>
      <c r="M26" s="107">
        <f t="shared" si="4"/>
        <v>12000</v>
      </c>
      <c r="N26" s="41" t="s">
        <v>115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38250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38250</v>
      </c>
      <c r="I28" s="120"/>
      <c r="J28" s="120">
        <f>SUM(J15:J27)</f>
        <v>9000</v>
      </c>
      <c r="K28" s="120">
        <f>SUM(K15:K27)</f>
        <v>0</v>
      </c>
      <c r="L28" s="119">
        <f>SUM(L15:L27)</f>
        <v>29250</v>
      </c>
      <c r="M28" s="121">
        <f>SUM(M15:M27)</f>
        <v>29250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2026-01-07T01:51:42Z</dcterms:modified>
</cp:coreProperties>
</file>