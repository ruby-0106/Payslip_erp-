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CB42C4E5-AAE1-48AC-8B3B-CF9BA6283FA6}" xr6:coauthVersionLast="37" xr6:coauthVersionMax="47" xr10:uidLastSave="{00000000-0000-0000-0000-000000000000}"/>
  <bookViews>
    <workbookView xWindow="0" yWindow="0" windowWidth="23040" windowHeight="9084" tabRatio="601" firstSheet="3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8" l="1"/>
  <c r="B16" i="59" l="1"/>
  <c r="B16" i="57" l="1"/>
  <c r="B16" i="56"/>
  <c r="B16" i="55"/>
  <c r="B16" i="54"/>
  <c r="B16" i="53"/>
  <c r="B16" i="52"/>
  <c r="B16" i="51"/>
  <c r="B16" i="50"/>
  <c r="B16" i="28"/>
  <c r="D24" i="54" l="1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<sst xmlns="http://schemas.openxmlformats.org/spreadsheetml/2006/main" count="722" uniqueCount="123">
  <si>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</si>
  <si>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</si>
  <si>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</si>
  <si>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</si>
  <si>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</si>
  <si>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</si>
  <si>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</si>
  <si>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</si>
  <si>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</si>
  <si>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</si>
  <si>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</si>
  <si>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</si>
  <si>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</si>
  <si>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</si>
  <si>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</si>
  <si>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</si>
  <si>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</si>
  <si>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</si>
  <si>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</si>
  <si>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</si>
  <si>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</si>
  <si>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</si>
  <si>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</si>
  <si>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</si>
  <si>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</si>
  <si>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</si>
  <si>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</si>
  <si>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</si>
  <si>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</si>
  <si>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</si>
  <si>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</si>
  <si>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</si>
  <si>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</si>
  <si>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</si>
  <si>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</si>
  <si>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</si>
  <si>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</si>
  <si>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</si>
  <si>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</si>
  <si>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</si>
  <si>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</si>
  <si>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</si>
  <si>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</si>
  <si>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</si>
  <si>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</si>
  <si>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</si>
  <si>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</si>
  <si>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</si>
  <si>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</si>
  <si>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</si>
  <si>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</si>
  <si>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</si>
  <si>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</si>
  <si>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</si>
  <si>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</si>
  <si>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</si>
  <si>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</si>
  <si>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</si>
  <si>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</si>
  <si>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</si>
  <si>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</si>
  <si>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</si>
  <si>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</si>
  <si>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</si>
  <si>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</si>
  <si>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</si>
  <si>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</si>
  <si>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</si>
  <si>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</si>
  <si>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</si>
  <si>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</si>
  <si>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</si>
  <si>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</si>
  <si>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</si>
  <si>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</si>
  <si>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</si>
  <si>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</si>
  <si>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</si>
  <si>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</si>
  <si>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</si>
  <si>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</si>
  <si>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</si>
  <si>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</si>
  <si>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</si>
  <si>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</si>
  <si>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</si>
  <si>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</si>
  <si>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</si>
  <si>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</si>
  <si>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</si>
  <si>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</si>
  <si>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</si>
  <si>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</si>
  <si>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</si>
  <si>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</si>
  <si>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</si>
  <si>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</si>
  <si>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</si>
  <si>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</si>
  <si>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</si>
  <si>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</si>
  <si>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</si>
  <si>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</si>
  <si>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</si>
  <si>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</si>
  <si>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</si>
  <si>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</si>
  <si>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</si>
  <si>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</si>
  <si>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</si>
  <si>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</si>
  <si>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</si>
  <si>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</si>
  <si>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</si>
  <si>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</si>
  <si>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</si>
  <si>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</si>
  <si>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</si>
  <si>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Mr.Anuwat Surarit</t>
  </si>
  <si>
    <t>นายอนุวัฒน์ สุราฤทธิ์</t>
  </si>
  <si>
    <t>630617</t>
  </si>
  <si>
    <t>1102002947799</t>
  </si>
  <si>
    <t>17/06/2563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</si>
</sst>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7" zoomScale="120" zoomScaleNormal="12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630617</v>
      </c>
      <c r="G7" s="144" t="str">
        <f>+'ใบสรุป-68'!D6</f>
        <v>1102002947799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20959+750</f>
        <v>21709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21709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21709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20959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0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630617</v>
      </c>
      <c r="G7" s="144" t="str">
        <f>+'ใบสรุป-68'!D6</f>
        <v>1102002947799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20830+750</f>
        <v>21580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21580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43289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20830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630617</v>
      </c>
      <c r="G7" s="144" t="str">
        <f>+'ใบสรุป-68'!D6</f>
        <v>1102002947799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20678+750</f>
        <v>21428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21428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I16+'68-Feb'!B24</f>
        <v>64717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20678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7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630617</v>
      </c>
      <c r="G7" s="144" t="str">
        <f>+'ใบสรุป-68'!D6</f>
        <v>1102002947799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22411+750</f>
        <v>23161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23161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I16+'68-Mar'!B24</f>
        <v>87878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22411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630617</v>
      </c>
      <c r="G7" s="144" t="str">
        <f>+'ใบสรุป-68'!D6</f>
        <v>1102002947799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21666+750</f>
        <v>22416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22416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I16+'68-Apr'!B24</f>
        <v>110294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21666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630617</v>
      </c>
      <c r="G7" s="144" t="str">
        <f>+'ใบสรุป-68'!D6</f>
        <v>1102002947799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22266+750</f>
        <v>23016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23016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I16+'68-May'!B24</f>
        <v>133310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22266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4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630617</v>
      </c>
      <c r="G7" s="144" t="str">
        <f>+'ใบสรุป-68'!D6</f>
        <v>1102002947799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22000+750</f>
        <v>22750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22750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I16+'68-Jun'!B24</f>
        <v>156060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22000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13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630617</v>
      </c>
      <c r="G7" s="144" t="str">
        <f>+'ใบสรุป-68'!D6</f>
        <v>1102002947799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20934+750</f>
        <v>21684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21684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I16+'68-Jul'!B24</f>
        <v>177744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20934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13" zoomScale="110" zoomScaleNormal="110" workbookViewId="0">
      <selection activeCell="B17" sqref="B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630617</v>
      </c>
      <c r="G7" s="144" t="str">
        <f>+'ใบสรุป-68'!D6</f>
        <v>1102002947799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20985+750</f>
        <v>21735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21735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I16+'68-Aug'!B24</f>
        <v>199479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20985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7" zoomScale="110" zoomScaleNormal="110" workbookViewId="0">
      <selection activeCell="C17" sqref="C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630617</v>
      </c>
      <c r="G7" s="144" t="str">
        <f>+'ใบสรุป-68'!D6</f>
        <v>1102002947799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23343+750</f>
        <v>24093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24093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I16+'68-Sep'!B24</f>
        <v>223572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23343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6" zoomScale="110" zoomScaleNormal="110" workbookViewId="0">
      <selection activeCell="F19" sqref="F19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630617</v>
      </c>
      <c r="G7" s="144" t="str">
        <f>+'ใบสรุป-68'!D6</f>
        <v>1102002947799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22033+750</f>
        <v>22783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22783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I16+'68-Oct'!B24</f>
        <v>246355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22033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7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630617</v>
      </c>
      <c r="G7" s="144" t="str">
        <f>+'ใบสรุป-68'!D6</f>
        <v>1102002947799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5" t="str">
        <f>+'ใบสรุป-68'!C7</f>
        <v>Technician</v>
      </c>
      <c r="G8" s="69"/>
      <c r="H8" s="47"/>
      <c r="I8" s="64" t="s">
        <v>117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Mr.Anuwat Surarit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นายอนุวัฒน์ สุราฤทธิ์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6">
        <f>21895+750</f>
        <v>22645</v>
      </c>
      <c r="C16" s="146"/>
      <c r="D16" s="146"/>
      <c r="E16" s="148"/>
      <c r="F16" s="147">
        <v>0</v>
      </c>
      <c r="G16" s="147">
        <v>0</v>
      </c>
      <c r="H16" s="53"/>
      <c r="I16" s="31">
        <f>SUM(B16+C16+D16+E16+F16+G16)</f>
        <v>22645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7">
        <v>0</v>
      </c>
      <c r="C20" s="7">
        <v>750</v>
      </c>
      <c r="D20" s="147">
        <v>0</v>
      </c>
      <c r="E20" s="147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9">
        <f>I16+'68-Nov'!B24</f>
        <v>269000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21895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3" workbookViewId="0">
      <selection activeCell="J24" sqref="J24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40" t="s">
        <v>118</v>
      </c>
      <c r="D4" s="141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5" t="s">
        <v>2</v>
      </c>
      <c r="B5" s="136"/>
      <c r="C5" s="142" t="s">
        <v>119</v>
      </c>
      <c r="D5" s="143"/>
      <c r="E5" s="134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7"/>
      <c r="C6" s="150" t="s">
        <v>120</v>
      </c>
      <c r="D6" s="150" t="s">
        <v>121</v>
      </c>
      <c r="E6" s="133"/>
      <c r="F6" s="79"/>
      <c r="G6" s="79"/>
      <c r="H6" s="79"/>
      <c r="I6" s="80"/>
      <c r="J6" s="80"/>
      <c r="L6" s="81"/>
    </row>
    <row r="7" spans="1:15" ht="21" thickBot="1" x14ac:dyDescent="0.3">
      <c r="A7" s="138" t="s">
        <v>24</v>
      </c>
      <c r="B7" s="139"/>
      <c r="C7" s="132" t="s">
        <v>107</v>
      </c>
      <c r="D7" s="130"/>
      <c r="E7" s="131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8" t="s">
        <v>32</v>
      </c>
      <c r="B9" s="139"/>
      <c r="C9" s="129" t="s">
        <v>107</v>
      </c>
      <c r="D9" s="130"/>
      <c r="E9" s="131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28" t="s">
        <v>122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21709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21709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20959</v>
      </c>
      <c r="M15" s="107">
        <f>L15</f>
        <v>20959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21580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21580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f t="shared" ref="L16:L25" si="3">H16-J16</f>
        <v>20830</v>
      </c>
      <c r="M16" s="107">
        <f t="shared" ref="M16:M26" si="4">L16</f>
        <v>20830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21428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21428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20678</v>
      </c>
      <c r="M17" s="107">
        <f t="shared" si="4"/>
        <v>20678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23161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23161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f t="shared" si="3"/>
        <v>22411</v>
      </c>
      <c r="M18" s="107">
        <f t="shared" si="4"/>
        <v>22411</v>
      </c>
      <c r="N18" s="41" t="s">
        <v>108</v>
      </c>
      <c r="O18" s="107"/>
    </row>
    <row r="19" spans="1:15" x14ac:dyDescent="0.25">
      <c r="A19" s="112" t="s">
        <v>59</v>
      </c>
      <c r="B19" s="110">
        <f>'68-May'!B16</f>
        <v>22416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22416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21666</v>
      </c>
      <c r="M19" s="107">
        <f t="shared" si="4"/>
        <v>21666</v>
      </c>
      <c r="N19" s="41" t="s">
        <v>109</v>
      </c>
      <c r="O19" s="107"/>
    </row>
    <row r="20" spans="1:15" x14ac:dyDescent="0.25">
      <c r="A20" s="112" t="s">
        <v>60</v>
      </c>
      <c r="B20" s="110">
        <f>'68-Jun'!B16</f>
        <v>23016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23016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22266</v>
      </c>
      <c r="M20" s="107">
        <f t="shared" si="4"/>
        <v>22266</v>
      </c>
      <c r="N20" s="41" t="s">
        <v>110</v>
      </c>
      <c r="O20" s="107"/>
    </row>
    <row r="21" spans="1:15" x14ac:dyDescent="0.25">
      <c r="A21" s="112" t="s">
        <v>61</v>
      </c>
      <c r="B21" s="110">
        <f>'68-Jul'!B16</f>
        <v>22750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22750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22000</v>
      </c>
      <c r="M21" s="107">
        <f t="shared" si="4"/>
        <v>22000</v>
      </c>
      <c r="N21" s="41" t="s">
        <v>111</v>
      </c>
      <c r="O21" s="107"/>
    </row>
    <row r="22" spans="1:15" x14ac:dyDescent="0.25">
      <c r="A22" s="112" t="s">
        <v>63</v>
      </c>
      <c r="B22" s="110">
        <f>'68-Aug'!B16</f>
        <v>21684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21684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f t="shared" si="3"/>
        <v>20934</v>
      </c>
      <c r="M22" s="107">
        <f t="shared" si="4"/>
        <v>20934</v>
      </c>
      <c r="N22" s="41" t="s">
        <v>112</v>
      </c>
      <c r="O22" s="107"/>
    </row>
    <row r="23" spans="1:15" x14ac:dyDescent="0.25">
      <c r="A23" s="112" t="s">
        <v>64</v>
      </c>
      <c r="B23" s="110">
        <f>'68-Sep'!B16</f>
        <v>21735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21735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f t="shared" si="3"/>
        <v>20985</v>
      </c>
      <c r="M23" s="107">
        <f t="shared" si="4"/>
        <v>20985</v>
      </c>
      <c r="N23" s="41" t="s">
        <v>113</v>
      </c>
      <c r="O23" s="107"/>
    </row>
    <row r="24" spans="1:15" x14ac:dyDescent="0.25">
      <c r="A24" s="112" t="s">
        <v>65</v>
      </c>
      <c r="B24" s="110">
        <f>'68-Oct'!B16</f>
        <v>24093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24093</v>
      </c>
      <c r="I24" s="41" t="s">
        <v>62</v>
      </c>
      <c r="J24" s="111">
        <f t="shared" si="1"/>
        <v>750</v>
      </c>
      <c r="K24" s="111">
        <f t="shared" si="2"/>
        <v>0</v>
      </c>
      <c r="L24" s="111">
        <f t="shared" si="3"/>
        <v>23343</v>
      </c>
      <c r="M24" s="107">
        <f t="shared" si="4"/>
        <v>23343</v>
      </c>
      <c r="N24" s="41" t="s">
        <v>114</v>
      </c>
      <c r="O24" s="107"/>
    </row>
    <row r="25" spans="1:15" x14ac:dyDescent="0.25">
      <c r="A25" s="112" t="s">
        <v>66</v>
      </c>
      <c r="B25" s="110">
        <f>'68-Nov'!B16</f>
        <v>22783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22783</v>
      </c>
      <c r="I25" s="41" t="s">
        <v>62</v>
      </c>
      <c r="J25" s="111">
        <f t="shared" si="1"/>
        <v>750</v>
      </c>
      <c r="K25" s="111">
        <f t="shared" si="2"/>
        <v>0</v>
      </c>
      <c r="L25" s="111">
        <f t="shared" si="3"/>
        <v>22033</v>
      </c>
      <c r="M25" s="107">
        <f t="shared" si="4"/>
        <v>22033</v>
      </c>
      <c r="N25" s="41" t="s">
        <v>115</v>
      </c>
      <c r="O25" s="107"/>
    </row>
    <row r="26" spans="1:15" x14ac:dyDescent="0.25">
      <c r="A26" s="112" t="s">
        <v>67</v>
      </c>
      <c r="B26" s="110">
        <f>'68-Dec'!B16</f>
        <v>22645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22645</v>
      </c>
      <c r="I26" s="41" t="s">
        <v>62</v>
      </c>
      <c r="J26" s="111">
        <f>(15000)*I26</f>
        <v>750</v>
      </c>
      <c r="K26" s="111">
        <f t="shared" si="2"/>
        <v>0</v>
      </c>
      <c r="L26" s="111">
        <f>H26-J26</f>
        <v>21895</v>
      </c>
      <c r="M26" s="107">
        <f t="shared" si="4"/>
        <v>21895</v>
      </c>
      <c r="N26" s="41" t="s">
        <v>116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269000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269000</v>
      </c>
      <c r="I28" s="120"/>
      <c r="J28" s="120">
        <f>SUM(J15:J27)</f>
        <v>9000</v>
      </c>
      <c r="K28" s="120">
        <f>SUM(K15:K27)</f>
        <v>0</v>
      </c>
      <c r="L28" s="119">
        <f>SUM(L15:L27)</f>
        <v>260000</v>
      </c>
      <c r="M28" s="121">
        <f>SUM(M15:M27)</f>
        <v>260000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2026-01-07T01:58:22Z</dcterms:modified>
</cp:coreProperties>
</file>