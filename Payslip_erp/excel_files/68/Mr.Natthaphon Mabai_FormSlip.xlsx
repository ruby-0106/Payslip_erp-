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2F899E5E-EA28-4B12-A05A-2B5CEA01049A}" xr6:coauthVersionLast="37" xr6:coauthVersionMax="47" xr10:uidLastSave="{00000000-0000-0000-0000-000000000000}"/>
  <bookViews>
    <workbookView xWindow="0" yWindow="0" windowWidth="23040" windowHeight="9084" tabRatio="601" firstSheet="1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/>
  <c r="B16" i="58" l="1"/>
  <c r="B16" i="53" l="1"/>
  <c r="B16" i="54"/>
  <c r="B16" i="55"/>
  <c r="B16" i="56"/>
  <c r="B16" i="57"/>
  <c r="B16" i="52" l="1"/>
  <c r="B16" i="51"/>
  <c r="B16" i="50"/>
  <c r="B16" i="28"/>
  <c r="M15" i="44" l="1"/>
  <c r="D24" i="54"/>
  <c r="J15" i="44"/>
  <c r="J16" i="44"/>
  <c r="J17" i="44"/>
  <c r="J18" i="44"/>
  <c r="J19" i="44"/>
  <c r="J20" i="44"/>
  <c r="J21" i="44"/>
  <c r="J22" i="44"/>
  <c r="J23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I20" i="28"/>
  <c r="K28" i="44"/>
  <c r="M26" i="44" l="1"/>
  <c r="M25" i="44"/>
  <c r="M24" i="44"/>
  <c r="M23" i="44"/>
  <c r="M22" i="44"/>
  <c r="M21" i="44"/>
  <c r="M20" i="44"/>
  <c r="M19" i="44"/>
  <c r="M18" i="44"/>
  <c r="M17" i="44"/>
  <c r="M16" i="44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<sst xmlns="http://schemas.openxmlformats.org/spreadsheetml/2006/main" count="722" uniqueCount="123">
  <si>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</si>
  <si>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</si>
  <si>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</si>
  <si>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</si>
  <si>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</si>
  <si>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</si>
  <si>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</si>
  <si>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</si>
  <si>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</si>
  <si>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</si>
  <si>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</si>
  <si>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</si>
  <si>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</si>
  <si>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</si>
  <si>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</si>
  <si>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</si>
  <si>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</si>
  <si>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</si>
  <si>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</si>
  <si>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</si>
  <si>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</si>
  <si>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</si>
  <si>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</si>
  <si>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</si>
  <si>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</si>
  <si>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</si>
  <si>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</si>
  <si>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</si>
  <si>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</si>
  <si>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</si>
  <si>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</si>
  <si>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</si>
  <si>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</si>
  <si>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</si>
  <si>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</si>
  <si>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</si>
  <si>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</si>
  <si>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</si>
  <si>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</si>
  <si>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</si>
  <si>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</si>
  <si>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</si>
  <si>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</si>
  <si>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</si>
  <si>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</si>
  <si>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</si>
  <si>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</si>
  <si>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</si>
  <si>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</si>
  <si>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</si>
  <si>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</si>
  <si>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</si>
  <si>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</si>
  <si>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</si>
  <si>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</si>
  <si>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</si>
  <si>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</si>
  <si>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</si>
  <si>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</si>
  <si>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</si>
  <si>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</si>
  <si>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</si>
  <si>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</si>
  <si>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</si>
  <si>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</si>
  <si>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</si>
  <si>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</si>
  <si>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</si>
  <si>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</si>
  <si>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</si>
  <si>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</si>
  <si>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</si>
  <si>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</si>
  <si>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</si>
  <si>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</si>
  <si>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</si>
  <si>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</si>
  <si>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</si>
  <si>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</si>
  <si>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</si>
  <si>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</si>
  <si>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</si>
  <si>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</si>
  <si>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</si>
  <si>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</si>
  <si>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</si>
  <si>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</si>
  <si>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</si>
  <si>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</si>
  <si>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</si>
  <si>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</si>
  <si>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</si>
  <si>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</si>
  <si>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</si>
  <si>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</si>
  <si>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</si>
  <si>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</si>
  <si>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</si>
  <si>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</si>
  <si>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</si>
  <si>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</si>
  <si>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</si>
  <si>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</si>
  <si>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</si>
  <si>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</si>
  <si>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</si>
  <si>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</si>
  <si>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</si>
  <si>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</si>
  <si>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</si>
  <si>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</si>
  <si>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</si>
  <si>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</si>
  <si>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</si>
  <si>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</si>
  <si>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</si>
  <si>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</si>
  <si>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</si>
  <si>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Mr.Natthaphon Mabai</t>
  </si>
  <si>
    <t>นายณัฐพล มะใบ</t>
  </si>
  <si>
    <t>600123</t>
  </si>
  <si>
    <t>1200100512328</t>
  </si>
  <si>
    <t>23/01/2560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</si>
</sst>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E16" sqref="E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23988+750</f>
        <v>24738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24738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24738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23988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32651+750</f>
        <v>33401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33401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58139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32651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25187+750</f>
        <v>25937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25937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I16+'68-Feb'!B24</f>
        <v>84076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25187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0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28454+750</f>
        <v>29204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29204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I16+'68-Mar'!B24</f>
        <v>113280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28454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J24" sqref="J24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2063</v>
      </c>
      <c r="D16" s="146">
        <v>400</v>
      </c>
      <c r="E16" s="148"/>
      <c r="F16" s="147">
        <v>0</v>
      </c>
      <c r="G16" s="147">
        <v>0</v>
      </c>
      <c r="H16" s="53"/>
      <c r="I16" s="31">
        <f>SUM(B16+C16+D16+E16+F16+G16)</f>
        <v>25213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I16+'68-Apr'!B24</f>
        <v>138493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24463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J24" sqref="J24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3025</v>
      </c>
      <c r="D16" s="146">
        <v>400</v>
      </c>
      <c r="E16" s="148"/>
      <c r="F16" s="147">
        <v>0</v>
      </c>
      <c r="G16" s="147">
        <v>0</v>
      </c>
      <c r="H16" s="53"/>
      <c r="I16" s="31">
        <f>SUM(B16+C16+D16+E16+F16+G16)</f>
        <v>26175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I16+'68-May'!B24</f>
        <v>164668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25425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J24" sqref="J24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2040</v>
      </c>
      <c r="D16" s="146">
        <v>500</v>
      </c>
      <c r="E16" s="148"/>
      <c r="F16" s="147">
        <v>0</v>
      </c>
      <c r="G16" s="147">
        <v>0</v>
      </c>
      <c r="H16" s="53"/>
      <c r="I16" s="31">
        <f>SUM(B16+C16+D16+E16+F16+G16)</f>
        <v>25290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I16+'68-Jun'!B24</f>
        <v>189958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24540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zoomScale="110" zoomScaleNormal="110" workbookViewId="0">
      <selection activeCell="J24" sqref="J24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414</v>
      </c>
      <c r="D16" s="146"/>
      <c r="E16" s="148"/>
      <c r="F16" s="147">
        <v>0</v>
      </c>
      <c r="G16" s="147">
        <v>0</v>
      </c>
      <c r="H16" s="53"/>
      <c r="I16" s="31">
        <f>SUM(B16+C16+D16+E16+F16+G16)</f>
        <v>23164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I16+'68-Jul'!B24</f>
        <v>213122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22414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C7" sqref="C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1030.3699999999999</v>
      </c>
      <c r="D16" s="146"/>
      <c r="E16" s="148"/>
      <c r="F16" s="147">
        <v>0</v>
      </c>
      <c r="G16" s="147">
        <v>0</v>
      </c>
      <c r="H16" s="53"/>
      <c r="I16" s="31">
        <f>SUM(B16+C16+D16+E16+F16+G16)</f>
        <v>23780.37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I16+'68-Aug'!B24</f>
        <v>236902.37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23030.37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4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4000.41</v>
      </c>
      <c r="D16" s="146">
        <v>585</v>
      </c>
      <c r="E16" s="148"/>
      <c r="F16" s="147">
        <v>0</v>
      </c>
      <c r="G16" s="147">
        <v>0</v>
      </c>
      <c r="H16" s="53"/>
      <c r="I16" s="31">
        <f>SUM(B16+C16+D16+E16+F16+G16)</f>
        <v>27335.41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I16+'68-Sep'!B24</f>
        <v>264237.77999999997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26585.41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7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2027</v>
      </c>
      <c r="D16" s="146">
        <v>300</v>
      </c>
      <c r="E16" s="148"/>
      <c r="F16" s="147">
        <v>0</v>
      </c>
      <c r="G16" s="147">
        <v>0</v>
      </c>
      <c r="H16" s="53"/>
      <c r="I16" s="31">
        <f>SUM(B16+C16+D16+E16+F16+G16)</f>
        <v>25077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I16+'68-Oct'!B24</f>
        <v>289314.77999999997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24327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3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600123</v>
      </c>
      <c r="G7" s="144" t="str">
        <f>+'ใบสรุป-68'!D6</f>
        <v>1200100512328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>
        <v>2000</v>
      </c>
      <c r="D16" s="146">
        <v>375</v>
      </c>
      <c r="E16" s="148"/>
      <c r="F16" s="147">
        <v>0</v>
      </c>
      <c r="G16" s="147">
        <v>0</v>
      </c>
      <c r="H16" s="53"/>
      <c r="I16" s="31">
        <f>SUM(B16+C16+D16+E16+F16+G16)</f>
        <v>25125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I16+'68-Nov'!B24</f>
        <v>314439.77999999997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24375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7" workbookViewId="0">
      <selection activeCell="H15" sqref="H15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0" t="s">
        <v>118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5" t="s">
        <v>2</v>
      </c>
      <c r="B5" s="136"/>
      <c r="C5" s="142" t="s">
        <v>119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7"/>
      <c r="C6" s="150" t="s">
        <v>120</v>
      </c>
      <c r="D6" s="150" t="s">
        <v>121</v>
      </c>
      <c r="E6" s="133"/>
      <c r="F6" s="79"/>
      <c r="G6" s="79"/>
      <c r="H6" s="79"/>
      <c r="I6" s="80"/>
      <c r="J6" s="80"/>
      <c r="L6" s="81"/>
    </row>
    <row r="7" spans="1:15" ht="21" thickBot="1" x14ac:dyDescent="0.3">
      <c r="A7" s="138" t="s">
        <v>24</v>
      </c>
      <c r="B7" s="139"/>
      <c r="C7" s="132" t="s">
        <v>107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8" t="s">
        <v>32</v>
      </c>
      <c r="B9" s="139"/>
      <c r="C9" s="129" t="s">
        <v>107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24738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24738</v>
      </c>
      <c r="I15" s="41" t="s">
        <v>62</v>
      </c>
      <c r="J15" s="111">
        <f t="shared" ref="J15:J23" si="1">(15000)*I15</f>
        <v>750</v>
      </c>
      <c r="K15" s="111">
        <f>+-SUM(0)*3%</f>
        <v>0</v>
      </c>
      <c r="L15" s="111">
        <v>23988</v>
      </c>
      <c r="M15" s="107">
        <f>L15</f>
        <v>23988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33401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33401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v>32651</v>
      </c>
      <c r="M16" s="107">
        <f t="shared" ref="M16:M26" si="3">L16</f>
        <v>32651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25937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25937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v>25187</v>
      </c>
      <c r="M17" s="107">
        <f t="shared" si="3"/>
        <v>25187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29204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29204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v>28454</v>
      </c>
      <c r="M18" s="107">
        <f t="shared" si="3"/>
        <v>28454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22750</v>
      </c>
      <c r="C19" s="110">
        <f>'68-May'!C16</f>
        <v>2063</v>
      </c>
      <c r="D19" s="110">
        <f>'68-May'!D16</f>
        <v>400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25213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v>24463</v>
      </c>
      <c r="M19" s="107">
        <f t="shared" si="3"/>
        <v>24463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22750</v>
      </c>
      <c r="C20" s="110">
        <f>'68-Jun'!C16</f>
        <v>3025</v>
      </c>
      <c r="D20" s="110">
        <f>'68-Jun'!D16</f>
        <v>400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26175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v>25425</v>
      </c>
      <c r="M20" s="107">
        <f t="shared" si="3"/>
        <v>25425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22750</v>
      </c>
      <c r="C21" s="110">
        <f>'68-Jul'!C16</f>
        <v>2040</v>
      </c>
      <c r="D21" s="110">
        <f>'68-Jul'!D16</f>
        <v>500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25290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v>24540</v>
      </c>
      <c r="M21" s="107">
        <f t="shared" si="3"/>
        <v>24540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22750</v>
      </c>
      <c r="C22" s="110">
        <f>'68-Aug'!C16</f>
        <v>414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23164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v>22414</v>
      </c>
      <c r="M22" s="107">
        <f t="shared" si="3"/>
        <v>22414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22750</v>
      </c>
      <c r="C23" s="110">
        <f>'68-Sep'!C16</f>
        <v>1030.3699999999999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23780.37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v>23030</v>
      </c>
      <c r="M23" s="107">
        <f t="shared" si="3"/>
        <v>23030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22750</v>
      </c>
      <c r="C24" s="110">
        <f>'68-Oct'!C16</f>
        <v>4000.41</v>
      </c>
      <c r="D24" s="110">
        <f>'68-Oct'!D16</f>
        <v>585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27335.41</v>
      </c>
      <c r="I24" s="41" t="s">
        <v>62</v>
      </c>
      <c r="J24" s="111"/>
      <c r="K24" s="111">
        <f t="shared" si="2"/>
        <v>0</v>
      </c>
      <c r="L24" s="111"/>
      <c r="M24" s="107">
        <f t="shared" si="3"/>
        <v>0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22750</v>
      </c>
      <c r="C25" s="110">
        <f>'68-Nov'!C16</f>
        <v>2027</v>
      </c>
      <c r="D25" s="110">
        <f>'68-Nov'!D16</f>
        <v>300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25077</v>
      </c>
      <c r="I25" s="41" t="s">
        <v>62</v>
      </c>
      <c r="J25" s="111"/>
      <c r="K25" s="111">
        <f t="shared" si="2"/>
        <v>0</v>
      </c>
      <c r="L25" s="111"/>
      <c r="M25" s="107">
        <f t="shared" si="3"/>
        <v>0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22750</v>
      </c>
      <c r="C26" s="110">
        <f>'68-Dec'!C16</f>
        <v>2000</v>
      </c>
      <c r="D26" s="110">
        <f>'68-Dec'!D16</f>
        <v>375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25125</v>
      </c>
      <c r="I26" s="41" t="s">
        <v>62</v>
      </c>
      <c r="J26" s="111"/>
      <c r="K26" s="111">
        <f t="shared" si="2"/>
        <v>0</v>
      </c>
      <c r="L26" s="111"/>
      <c r="M26" s="107">
        <f t="shared" si="3"/>
        <v>0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4">SUM(B15:B27)</f>
        <v>295280</v>
      </c>
      <c r="C28" s="119">
        <f t="shared" si="4"/>
        <v>16599.78</v>
      </c>
      <c r="D28" s="119">
        <f t="shared" si="4"/>
        <v>2560</v>
      </c>
      <c r="E28" s="119">
        <f t="shared" si="4"/>
        <v>0</v>
      </c>
      <c r="F28" s="119">
        <f t="shared" si="4"/>
        <v>0</v>
      </c>
      <c r="G28" s="119">
        <f t="shared" si="4"/>
        <v>0</v>
      </c>
      <c r="H28" s="119">
        <f t="shared" si="4"/>
        <v>314439.77999999997</v>
      </c>
      <c r="I28" s="120"/>
      <c r="J28" s="120">
        <f>SUM(J15:J27)</f>
        <v>6750</v>
      </c>
      <c r="K28" s="120">
        <f>SUM(K15:K27)</f>
        <v>0</v>
      </c>
      <c r="L28" s="119">
        <f>SUM(L15:L27)</f>
        <v>230152</v>
      </c>
      <c r="M28" s="121">
        <f>SUM(M15:M27)</f>
        <v>230152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2026-01-07T02:01:23Z</dcterms:modified>
</cp:coreProperties>
</file>