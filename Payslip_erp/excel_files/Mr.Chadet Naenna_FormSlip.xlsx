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331D1024-FA64-46CE-B421-9AE4C5420EA4}" xr6:coauthVersionLast="37" xr6:coauthVersionMax="47" xr10:uidLastSave="{00000000-0000-0000-0000-000000000000}"/>
  <bookViews>
    <workbookView xWindow="0" yWindow="0" windowWidth="23040" windowHeight="9084" tabRatio="601" firstSheet="6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8" l="1"/>
  <c r="B16" i="59" l="1"/>
  <c r="B16" i="57" l="1"/>
  <c r="B16" i="56" l="1"/>
  <c r="M16" i="44" l="1"/>
  <c r="M17" i="44"/>
  <c r="M18" i="44"/>
  <c r="M19" i="44"/>
  <c r="M20" i="44"/>
  <c r="M21" i="44"/>
  <c r="M15" i="44"/>
  <c r="D24" i="54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L20" i="44"/>
  <c r="L19" i="44"/>
  <c r="L18" i="44"/>
  <c r="L17" i="44"/>
  <c r="L16" i="44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<sst xmlns="http://schemas.openxmlformats.org/spreadsheetml/2006/main" count="722" uniqueCount="123">
  <si>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</si>
  <si>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</si>
  <si>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</si>
  <si>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</si>
  <si>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</si>
  <si>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</si>
  <si>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</si>
  <si>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</si>
  <si>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</si>
  <si>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</si>
  <si>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</si>
  <si>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</si>
  <si>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</si>
  <si>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</si>
  <si>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</si>
  <si>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</si>
  <si>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</si>
  <si>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</si>
  <si>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</si>
  <si>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</si>
  <si>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</si>
  <si>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</si>
  <si>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</si>
  <si>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</si>
  <si>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</si>
  <si>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</si>
  <si>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</si>
  <si>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</si>
  <si>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</si>
  <si>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</si>
  <si>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</si>
  <si>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</si>
  <si>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</si>
  <si>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</si>
  <si>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</si>
  <si>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</si>
  <si>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</si>
  <si>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</si>
  <si>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</si>
  <si>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</si>
  <si>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</si>
  <si>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</si>
  <si>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</si>
  <si>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</si>
  <si>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</si>
  <si>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</si>
  <si>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</si>
  <si>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</si>
  <si>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</si>
  <si>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</si>
  <si>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</si>
  <si>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</si>
  <si>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</si>
  <si>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</si>
  <si>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</si>
  <si>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</si>
  <si>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</si>
  <si>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</si>
  <si>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</si>
  <si>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</si>
  <si>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</si>
  <si>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</si>
  <si>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</si>
  <si>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</si>
  <si>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</si>
  <si>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</si>
  <si>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</si>
  <si>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</si>
  <si>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</si>
  <si>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</si>
  <si>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</si>
  <si>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</si>
  <si>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</si>
  <si>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</si>
  <si>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</si>
  <si>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</si>
  <si>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</si>
  <si>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</si>
  <si>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</si>
  <si>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</si>
  <si>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</si>
  <si>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</si>
  <si>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</si>
  <si>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</si>
  <si>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</si>
  <si>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</si>
  <si>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</si>
  <si>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</si>
  <si>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</si>
  <si>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</si>
  <si>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</si>
  <si>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</si>
  <si>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</si>
  <si>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</si>
  <si>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</si>
  <si>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</si>
  <si>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</si>
  <si>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</si>
  <si>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</si>
  <si>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</si>
  <si>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</si>
  <si>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</si>
  <si>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</si>
  <si>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</si>
  <si>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</si>
  <si>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</si>
  <si>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</si>
  <si>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</si>
  <si>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</si>
  <si>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</si>
  <si>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</si>
  <si>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</si>
  <si>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</si>
  <si>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</si>
  <si>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</si>
  <si>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</si>
  <si>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</si>
  <si>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</si>
  <si>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Mr.Chadet Naenna</t>
  </si>
  <si>
    <t>นายจเด็จ แน่นหนา</t>
  </si>
  <si>
    <t>570801</t>
  </si>
  <si>
    <t>3200100034953</t>
  </si>
  <si>
    <t>01/08/2567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</si>
</sst>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6" zoomScale="120" zoomScaleNormal="120" workbookViewId="0">
      <selection activeCell="F17" sqref="F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F20" sqref="F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I16+'68-Feb'!B24</f>
        <v>0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I16+'68-Mar'!B24</f>
        <v>0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F23" sqref="F23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I16+'68-Apr'!B24</f>
        <v>0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I16+'68-May'!B24</f>
        <v>0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I16+'68-Jun'!B24</f>
        <v>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0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23458.67+750</f>
        <v>24208.67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24208.67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I16+'68-Jul'!B24</f>
        <v>24208.67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23458.67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25070+750</f>
        <v>25820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25820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I16+'68-Aug'!B24</f>
        <v>50028.67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25070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7" zoomScale="110" zoomScaleNormal="110" workbookViewId="0">
      <selection activeCell="G9" sqref="G9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26240.87+750</f>
        <v>26990.87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26990.87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I16+'68-Sep'!B24</f>
        <v>77019.539999999994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26240.87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9" zoomScale="110" zoomScaleNormal="110" workbookViewId="0">
      <selection activeCell="F21" sqref="F21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24735.37+750</f>
        <v>25485.37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25485.37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I16+'68-Oct'!B24</f>
        <v>102504.90999999999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24735.37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7" zoomScale="110" zoomScaleNormal="110" workbookViewId="0">
      <selection activeCell="D16" sqref="D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570801</v>
      </c>
      <c r="G7" s="143" t="str">
        <f>+'ใบสรุป-68'!D6</f>
        <v>3200100034953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117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Mr.Chadet Naenna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23250+750</f>
        <v>24000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24000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I16+'68-Nov'!B24</f>
        <v>126504.90999999999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23250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2" workbookViewId="0">
      <selection activeCell="G24" sqref="G24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39" t="s">
        <v>118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4" t="s">
        <v>2</v>
      </c>
      <c r="B5" s="135"/>
      <c r="C5" s="141" t="s">
        <v>119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6"/>
      <c r="C6" s="149" t="s">
        <v>120</v>
      </c>
      <c r="D6" s="149" t="s">
        <v>121</v>
      </c>
      <c r="E6" s="132"/>
      <c r="F6" s="79"/>
      <c r="G6" s="79"/>
      <c r="H6" s="79"/>
      <c r="I6" s="80"/>
      <c r="J6" s="80"/>
      <c r="L6" s="81"/>
    </row>
    <row r="7" spans="1:15" ht="21" thickBot="1" x14ac:dyDescent="0.3">
      <c r="A7" s="137" t="s">
        <v>24</v>
      </c>
      <c r="B7" s="138"/>
      <c r="C7" s="131" t="s">
        <v>107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7" t="s">
        <v>32</v>
      </c>
      <c r="B9" s="138"/>
      <c r="C9" s="128" t="s">
        <v>107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50" t="s">
        <v>122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-750</v>
      </c>
      <c r="M15" s="107">
        <f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-750</v>
      </c>
      <c r="M16" s="107">
        <f t="shared" ref="M16:M26" si="4">L16</f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-750</v>
      </c>
      <c r="M17" s="107">
        <f t="shared" si="4"/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-750</v>
      </c>
      <c r="M18" s="107">
        <f t="shared" si="4"/>
        <v>-750</v>
      </c>
      <c r="N18" s="41" t="s">
        <v>108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-750</v>
      </c>
      <c r="M19" s="107">
        <f t="shared" si="4"/>
        <v>-750</v>
      </c>
      <c r="N19" s="41" t="s">
        <v>109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-750</v>
      </c>
      <c r="M20" s="107">
        <f t="shared" si="4"/>
        <v>-750</v>
      </c>
      <c r="N20" s="41" t="s">
        <v>110</v>
      </c>
      <c r="O20" s="107"/>
    </row>
    <row r="21" spans="1:15" x14ac:dyDescent="0.25">
      <c r="A21" s="112" t="s">
        <v>61</v>
      </c>
      <c r="B21" s="110">
        <f>'68-Jul'!B16</f>
        <v>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0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-750</v>
      </c>
      <c r="M21" s="107">
        <f t="shared" si="4"/>
        <v>-750</v>
      </c>
      <c r="N21" s="41" t="s">
        <v>111</v>
      </c>
      <c r="O21" s="107"/>
    </row>
    <row r="22" spans="1:15" x14ac:dyDescent="0.25">
      <c r="A22" s="112" t="s">
        <v>63</v>
      </c>
      <c r="B22" s="110">
        <f>'68-Aug'!B16</f>
        <v>24208.67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24208.67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23458.67</v>
      </c>
      <c r="M22" s="107">
        <f t="shared" si="4"/>
        <v>23458.67</v>
      </c>
      <c r="N22" s="41" t="s">
        <v>112</v>
      </c>
      <c r="O22" s="107"/>
    </row>
    <row r="23" spans="1:15" x14ac:dyDescent="0.25">
      <c r="A23" s="112" t="s">
        <v>64</v>
      </c>
      <c r="B23" s="110">
        <f>'68-Sep'!B16</f>
        <v>25820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25820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25070</v>
      </c>
      <c r="M23" s="107">
        <f t="shared" si="4"/>
        <v>25070</v>
      </c>
      <c r="N23" s="41" t="s">
        <v>113</v>
      </c>
      <c r="O23" s="107"/>
    </row>
    <row r="24" spans="1:15" x14ac:dyDescent="0.25">
      <c r="A24" s="112" t="s">
        <v>65</v>
      </c>
      <c r="B24" s="110">
        <f>'68-Oct'!B16</f>
        <v>26990.87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26990.87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26240.87</v>
      </c>
      <c r="M24" s="107">
        <f t="shared" si="4"/>
        <v>26240.87</v>
      </c>
      <c r="N24" s="41" t="s">
        <v>114</v>
      </c>
      <c r="O24" s="107"/>
    </row>
    <row r="25" spans="1:15" x14ac:dyDescent="0.25">
      <c r="A25" s="112" t="s">
        <v>66</v>
      </c>
      <c r="B25" s="110">
        <f>'68-Nov'!B16</f>
        <v>25485.37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25485.37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24735.37</v>
      </c>
      <c r="M25" s="107">
        <f t="shared" si="4"/>
        <v>24735.37</v>
      </c>
      <c r="N25" s="41" t="s">
        <v>115</v>
      </c>
      <c r="O25" s="107"/>
    </row>
    <row r="26" spans="1:15" x14ac:dyDescent="0.25">
      <c r="A26" s="112" t="s">
        <v>67</v>
      </c>
      <c r="B26" s="110">
        <f>'68-Dec'!B16</f>
        <v>24000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24000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23250</v>
      </c>
      <c r="M26" s="107">
        <f t="shared" si="4"/>
        <v>23250</v>
      </c>
      <c r="N26" s="41" t="s">
        <v>116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126504.90999999999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126504.90999999999</v>
      </c>
      <c r="I28" s="120"/>
      <c r="J28" s="120">
        <f>SUM(J15:J27)</f>
        <v>9000</v>
      </c>
      <c r="K28" s="120">
        <f>SUM(K15:K27)</f>
        <v>0</v>
      </c>
      <c r="L28" s="119">
        <f>SUM(L15:L27)</f>
        <v>117504.90999999999</v>
      </c>
      <c r="M28" s="121">
        <f>SUM(M15:M27)</f>
        <v>117504.90999999999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2026-01-07T02:02:04Z</dcterms:modified>
</cp:coreProperties>
</file>