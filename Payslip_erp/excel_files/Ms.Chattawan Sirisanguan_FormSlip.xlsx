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indows10 Pro\Desktop\เงินเดือน\excel_files\"/>
    </mc:Choice>
  </mc:AlternateContent>
  <xr:revisionPtr revIDLastSave="0" documentId="13_ncr:1_{43A3CBB7-B611-4649-87E9-3F57B3C96B18}" xr6:coauthVersionLast="37" xr6:coauthVersionMax="47" xr10:uidLastSave="{00000000-0000-0000-0000-000000000000}"/>
  <bookViews>
    <workbookView xWindow="0" yWindow="0" windowWidth="23040" windowHeight="9084" tabRatio="601" firstSheet="1" activeTab="11" xr2:uid="{741EA368-B2A2-404E-8A64-13EE997C4056}"/>
  </bookViews>
  <sheets>
    <sheet name="68-jan" sheetId="28" r:id="rId1"/>
    <sheet name="68-Feb" sheetId="50" r:id="rId2"/>
    <sheet name="68-Mar" sheetId="51" r:id="rId3"/>
    <sheet name="68-Apr" sheetId="52" r:id="rId4"/>
    <sheet name="68-May" sheetId="53" r:id="rId5"/>
    <sheet name="68-Jun" sheetId="54" r:id="rId6"/>
    <sheet name="68-Jul" sheetId="55" r:id="rId7"/>
    <sheet name="68-Aug" sheetId="56" r:id="rId8"/>
    <sheet name="68-Sep" sheetId="57" r:id="rId9"/>
    <sheet name="68-Oct" sheetId="58" r:id="rId10"/>
    <sheet name="68-Nov" sheetId="59" r:id="rId11"/>
    <sheet name="68-Dec" sheetId="60" r:id="rId12"/>
    <sheet name="ด้านหลัง" sheetId="32" r:id="rId13"/>
    <sheet name="ใบสรุป-68" sheetId="44" r:id="rId14"/>
  </sheets>
  <calcPr calcId="162913"/>
</workbook>
</file>

<file path=xl/calcChain.xml><?xml version="1.0" encoding="utf-8"?>
<calcChain xmlns="http://schemas.openxmlformats.org/spreadsheetml/2006/main">
  <c r="B16" i="60" l="1"/>
  <c r="B16" i="59"/>
  <c r="B16" i="58" l="1"/>
  <c r="B16" i="57"/>
  <c r="B16" i="56"/>
  <c r="L15" i="44" l="1"/>
  <c r="L16" i="44"/>
  <c r="L17" i="44"/>
  <c r="L18" i="44"/>
  <c r="L19" i="44"/>
  <c r="L20" i="44"/>
  <c r="L21" i="44"/>
  <c r="K16" i="44"/>
  <c r="K17" i="44"/>
  <c r="K18" i="44"/>
  <c r="K19" i="44"/>
  <c r="K20" i="44"/>
  <c r="K21" i="44"/>
  <c r="K22" i="44"/>
  <c r="K15" i="44"/>
  <c r="D24" i="28"/>
  <c r="D24" i="50" s="1"/>
  <c r="D24" i="51" s="1"/>
  <c r="D24" i="52" s="1"/>
  <c r="D24" i="53" s="1"/>
  <c r="D24" i="54" s="1"/>
  <c r="D24" i="55" s="1"/>
  <c r="M17" i="44"/>
  <c r="J15" i="44"/>
  <c r="J16" i="44"/>
  <c r="J17" i="44"/>
  <c r="J18" i="44"/>
  <c r="J19" i="44"/>
  <c r="J20" i="44"/>
  <c r="J21" i="44"/>
  <c r="J22" i="44"/>
  <c r="J23" i="44"/>
  <c r="J24" i="44"/>
  <c r="J25" i="44"/>
  <c r="J26" i="44"/>
  <c r="I16" i="60"/>
  <c r="I20" i="60" s="1"/>
  <c r="C24" i="28"/>
  <c r="C24" i="50" s="1"/>
  <c r="C24" i="51" s="1"/>
  <c r="C24" i="52" s="1"/>
  <c r="C24" i="53" s="1"/>
  <c r="C24" i="54" s="1"/>
  <c r="C24" i="55" s="1"/>
  <c r="C24" i="56" s="1"/>
  <c r="C24" i="57" s="1"/>
  <c r="C24" i="58" s="1"/>
  <c r="C24" i="59" s="1"/>
  <c r="C24" i="60" s="1"/>
  <c r="I16" i="50"/>
  <c r="F8" i="28"/>
  <c r="F7" i="28"/>
  <c r="I16" i="59"/>
  <c r="I20" i="59" s="1"/>
  <c r="I16" i="58"/>
  <c r="I20" i="58" s="1"/>
  <c r="I16" i="57"/>
  <c r="I16" i="56"/>
  <c r="I20" i="55"/>
  <c r="I16" i="55"/>
  <c r="I20" i="54"/>
  <c r="I16" i="54"/>
  <c r="I20" i="53"/>
  <c r="I16" i="53"/>
  <c r="I20" i="52"/>
  <c r="I16" i="52"/>
  <c r="I20" i="51"/>
  <c r="I16" i="51"/>
  <c r="I20" i="50"/>
  <c r="C26" i="44"/>
  <c r="D26" i="44"/>
  <c r="E26" i="44"/>
  <c r="F26" i="44"/>
  <c r="G26" i="44"/>
  <c r="C25" i="44"/>
  <c r="D25" i="44"/>
  <c r="E25" i="44"/>
  <c r="F25" i="44"/>
  <c r="G25" i="44"/>
  <c r="C24" i="44"/>
  <c r="D24" i="44"/>
  <c r="E24" i="44"/>
  <c r="F24" i="44"/>
  <c r="G24" i="44"/>
  <c r="C23" i="44"/>
  <c r="D23" i="44"/>
  <c r="E23" i="44"/>
  <c r="F23" i="44"/>
  <c r="G23" i="44"/>
  <c r="C22" i="44"/>
  <c r="D22" i="44"/>
  <c r="E22" i="44"/>
  <c r="F22" i="44"/>
  <c r="G22" i="44"/>
  <c r="C21" i="44"/>
  <c r="D21" i="44"/>
  <c r="E21" i="44"/>
  <c r="F21" i="44"/>
  <c r="G21" i="44"/>
  <c r="C20" i="44"/>
  <c r="D20" i="44"/>
  <c r="E20" i="44"/>
  <c r="F20" i="44"/>
  <c r="G20" i="44"/>
  <c r="C19" i="44"/>
  <c r="D19" i="44"/>
  <c r="E19" i="44"/>
  <c r="F19" i="44"/>
  <c r="G19" i="44"/>
  <c r="C18" i="44"/>
  <c r="D18" i="44"/>
  <c r="E18" i="44"/>
  <c r="F18" i="44"/>
  <c r="G18" i="44"/>
  <c r="C17" i="44"/>
  <c r="D17" i="44"/>
  <c r="E17" i="44"/>
  <c r="F17" i="44"/>
  <c r="G17" i="44"/>
  <c r="C16" i="44"/>
  <c r="D16" i="44"/>
  <c r="E16" i="44"/>
  <c r="F16" i="44"/>
  <c r="G16" i="44"/>
  <c r="B26" i="44"/>
  <c r="K26" i="44" s="1"/>
  <c r="B25" i="44"/>
  <c r="K25" i="44" s="1"/>
  <c r="B24" i="44"/>
  <c r="K24" i="44" s="1"/>
  <c r="B23" i="44"/>
  <c r="K23" i="44" s="1"/>
  <c r="B22" i="44"/>
  <c r="B21" i="44"/>
  <c r="B20" i="44"/>
  <c r="B19" i="44"/>
  <c r="B18" i="44"/>
  <c r="B17" i="44"/>
  <c r="B16" i="44"/>
  <c r="F15" i="44"/>
  <c r="G15" i="44"/>
  <c r="E24" i="28"/>
  <c r="B15" i="44"/>
  <c r="C15" i="44"/>
  <c r="D15" i="44"/>
  <c r="E15" i="44"/>
  <c r="B12" i="59"/>
  <c r="B11" i="59"/>
  <c r="F10" i="59"/>
  <c r="F9" i="59"/>
  <c r="F8" i="59"/>
  <c r="G7" i="59"/>
  <c r="F7" i="59"/>
  <c r="B12" i="60"/>
  <c r="B11" i="60"/>
  <c r="F10" i="60"/>
  <c r="F9" i="60"/>
  <c r="F8" i="60"/>
  <c r="G7" i="60"/>
  <c r="F7" i="60"/>
  <c r="B12" i="58"/>
  <c r="B11" i="58"/>
  <c r="F10" i="58"/>
  <c r="F9" i="58"/>
  <c r="F8" i="58"/>
  <c r="G7" i="58"/>
  <c r="F7" i="58"/>
  <c r="B12" i="57"/>
  <c r="B11" i="57"/>
  <c r="F10" i="57"/>
  <c r="F9" i="57"/>
  <c r="F8" i="57"/>
  <c r="G7" i="57"/>
  <c r="F7" i="57"/>
  <c r="B12" i="56"/>
  <c r="B11" i="56"/>
  <c r="F10" i="56"/>
  <c r="F9" i="56"/>
  <c r="F8" i="56"/>
  <c r="G7" i="56"/>
  <c r="F7" i="56"/>
  <c r="B12" i="55"/>
  <c r="B11" i="55"/>
  <c r="F10" i="55"/>
  <c r="F9" i="55"/>
  <c r="F8" i="55"/>
  <c r="G7" i="55"/>
  <c r="F7" i="55"/>
  <c r="B12" i="54"/>
  <c r="B11" i="54"/>
  <c r="F10" i="54"/>
  <c r="F9" i="54"/>
  <c r="F8" i="54"/>
  <c r="G7" i="54"/>
  <c r="F7" i="54"/>
  <c r="B12" i="53"/>
  <c r="B11" i="53"/>
  <c r="F10" i="53"/>
  <c r="F9" i="53"/>
  <c r="F8" i="53"/>
  <c r="G7" i="53"/>
  <c r="F7" i="53"/>
  <c r="B12" i="52"/>
  <c r="B11" i="52"/>
  <c r="F10" i="52"/>
  <c r="F9" i="52"/>
  <c r="F8" i="52"/>
  <c r="G7" i="52"/>
  <c r="F7" i="52"/>
  <c r="B12" i="51"/>
  <c r="B11" i="51"/>
  <c r="F10" i="51"/>
  <c r="F9" i="51"/>
  <c r="F8" i="51"/>
  <c r="G7" i="51"/>
  <c r="F7" i="51"/>
  <c r="B12" i="50"/>
  <c r="B11" i="50"/>
  <c r="F10" i="50"/>
  <c r="F9" i="50"/>
  <c r="F8" i="50"/>
  <c r="G7" i="50"/>
  <c r="F7" i="50"/>
  <c r="B12" i="28"/>
  <c r="B11" i="28"/>
  <c r="F10" i="28"/>
  <c r="F9" i="28"/>
  <c r="G7" i="28"/>
  <c r="I16" i="28"/>
  <c r="B24" i="28" s="1"/>
  <c r="I24" i="59" l="1"/>
  <c r="I20" i="57"/>
  <c r="I24" i="57" s="1"/>
  <c r="I20" i="56"/>
  <c r="I24" i="56" s="1"/>
  <c r="I24" i="51"/>
  <c r="I24" i="53"/>
  <c r="I24" i="55"/>
  <c r="I24" i="50"/>
  <c r="I24" i="58"/>
  <c r="I24" i="60"/>
  <c r="I24" i="52"/>
  <c r="I24" i="54"/>
  <c r="D24" i="56"/>
  <c r="D24" i="57" s="1"/>
  <c r="D24" i="58" s="1"/>
  <c r="D24" i="59" s="1"/>
  <c r="D24" i="60" s="1"/>
  <c r="J28" i="44"/>
  <c r="B24" i="50"/>
  <c r="B24" i="51" s="1"/>
  <c r="B24" i="52" s="1"/>
  <c r="B24" i="53" s="1"/>
  <c r="B24" i="54" s="1"/>
  <c r="B24" i="55" s="1"/>
  <c r="B24" i="56" s="1"/>
  <c r="B24" i="57" s="1"/>
  <c r="B24" i="58" s="1"/>
  <c r="B24" i="59" s="1"/>
  <c r="B24" i="60" s="1"/>
  <c r="H23" i="44"/>
  <c r="L23" i="44" s="1"/>
  <c r="H19" i="44"/>
  <c r="C28" i="44"/>
  <c r="H25" i="44"/>
  <c r="L25" i="44" s="1"/>
  <c r="H24" i="44"/>
  <c r="L24" i="44" s="1"/>
  <c r="G28" i="44"/>
  <c r="H22" i="44"/>
  <c r="L22" i="44" s="1"/>
  <c r="H21" i="44"/>
  <c r="H20" i="44"/>
  <c r="H18" i="44"/>
  <c r="D28" i="44"/>
  <c r="H17" i="44"/>
  <c r="H16" i="44"/>
  <c r="H26" i="44"/>
  <c r="L26" i="44" s="1"/>
  <c r="E28" i="44"/>
  <c r="F28" i="44"/>
  <c r="B28" i="44"/>
  <c r="H15" i="44"/>
  <c r="M15" i="44" s="1"/>
  <c r="I20" i="28"/>
  <c r="I24" i="28" s="1"/>
  <c r="K28" i="44"/>
  <c r="M26" i="44" l="1"/>
  <c r="M25" i="44"/>
  <c r="M24" i="44"/>
  <c r="M23" i="44"/>
  <c r="M22" i="44"/>
  <c r="M21" i="44"/>
  <c r="M20" i="44"/>
  <c r="M19" i="44"/>
  <c r="M18" i="44"/>
  <c r="M16" i="44"/>
  <c r="H28" i="44"/>
  <c r="M28" i="44" l="1"/>
  <c r="L28" i="44"/>
</calcChain>
</file>

<file path=xl/sharedStrings.xml><?xml version="1.0" encoding="utf-8"?>
<sst xmlns="http://schemas.openxmlformats.org/spreadsheetml/2006/main" count="722" uniqueCount="123">
  <si>
    <t>ใบจ่ายเงินเดือน / Pay  Slip</t>
  </si>
  <si>
    <t>ชื่อ - นามสกุล</t>
  </si>
  <si>
    <t>Name - Surname</t>
  </si>
  <si>
    <t>รายการรับ</t>
  </si>
  <si>
    <t>เงินเดือน</t>
  </si>
  <si>
    <t>ค่าล่วงเวลา</t>
  </si>
  <si>
    <t>อื่น ๆ</t>
  </si>
  <si>
    <t>Salary</t>
  </si>
  <si>
    <t>Over  time</t>
  </si>
  <si>
    <t>Other</t>
  </si>
  <si>
    <t>รายการหัก</t>
  </si>
  <si>
    <t>ภาษี</t>
  </si>
  <si>
    <t>ประกันสังคม</t>
  </si>
  <si>
    <t>ยอดสะสม</t>
  </si>
  <si>
    <t>รวมเงินได้ทั้งสิ้น</t>
  </si>
  <si>
    <t>รวมเงินหักทั้งสิ้น</t>
  </si>
  <si>
    <t>Income WHT</t>
  </si>
  <si>
    <t>Social Security Tax</t>
  </si>
  <si>
    <t>Collection Income</t>
  </si>
  <si>
    <t>Reduction</t>
  </si>
  <si>
    <t>Income</t>
  </si>
  <si>
    <t>Total Collection</t>
  </si>
  <si>
    <t>Collection Income WHT</t>
  </si>
  <si>
    <t>Collection Social WHT</t>
  </si>
  <si>
    <t>แผนก / Department</t>
  </si>
  <si>
    <t>Total Income</t>
  </si>
  <si>
    <t>Total Reduction</t>
  </si>
  <si>
    <t>Net Income</t>
  </si>
  <si>
    <t xml:space="preserve">รายได้สุทธิ </t>
  </si>
  <si>
    <t>ฝ่าย / Division</t>
  </si>
  <si>
    <t>วันที่/ Date</t>
  </si>
  <si>
    <t>เดือน/ For Month</t>
  </si>
  <si>
    <t xml:space="preserve">ตำแหน่ง / Position </t>
  </si>
  <si>
    <t>บริษัท ไอน์ชไตน์ อินดัสเตรียล เทคนิค คอร์ปอเรชั่น จำกัด</t>
  </si>
  <si>
    <t>(สำนักงานใหญ่) เลขที่ : 1/120  ซอยรามคำแหง 184  แขวงมีนบุรี  เขตมีนบุรี  กรุงเทพมหานคร  10510</t>
  </si>
  <si>
    <t>Tel : 0-2052-9544  Fax : 0-2052-9544  E-mail : sales@eitlaser.com</t>
  </si>
  <si>
    <t>Commission</t>
  </si>
  <si>
    <t>มกราคม /January</t>
  </si>
  <si>
    <t>กุมภาพันธ์ /February</t>
  </si>
  <si>
    <t>มีนาคม /March</t>
  </si>
  <si>
    <t>(เอกสารฉบับนี้ถือเป็นความลับของบริษัท/ห้ามเผยแพร่)</t>
  </si>
  <si>
    <t>(สนญ.) เลขที่ : 1/120  ซอยรามคำแหง 184  แขวงมีนบุรี  เขตมีนบุรี  กรุงเทพมหานคร  10510</t>
  </si>
  <si>
    <t>เดือน</t>
  </si>
  <si>
    <t>ค่าคอมมิชชั่น</t>
  </si>
  <si>
    <t>Total</t>
  </si>
  <si>
    <t>อัตรา</t>
  </si>
  <si>
    <r>
      <rPr>
        <b/>
        <sz val="12"/>
        <color indexed="10"/>
        <rFont val="AngsanaUPC"/>
        <family val="1"/>
        <charset val="222"/>
      </rPr>
      <t>หัก</t>
    </r>
    <r>
      <rPr>
        <b/>
        <sz val="12"/>
        <color indexed="8"/>
        <rFont val="AngsanaUPC"/>
        <family val="1"/>
        <charset val="222"/>
      </rPr>
      <t xml:space="preserve"> ประกัน</t>
    </r>
  </si>
  <si>
    <t>WHT-3%</t>
  </si>
  <si>
    <t>รับ-สุทธิ</t>
  </si>
  <si>
    <t>หมายเหตุ</t>
  </si>
  <si>
    <t>(บาท)</t>
  </si>
  <si>
    <t>SSO</t>
  </si>
  <si>
    <t>สังคม</t>
  </si>
  <si>
    <t>วันที่</t>
  </si>
  <si>
    <t>จำนวนเงิน (บาท)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</si>
  <si>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</si>
  <si>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</si>
  <si>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</si>
  <si>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</si>
  <si>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</si>
  <si>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</si>
  <si>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</si>
  <si>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5%</t>
  </si>
  <si>
    <t>สิงหาคม</t>
  </si>
  <si>
    <t>กันยายน</t>
  </si>
  <si>
    <t>ตุลาคม</t>
  </si>
  <si>
    <t>พฤศจิกายน</t>
  </si>
  <si>
    <t>ธันวาคม</t>
  </si>
  <si>
    <t>รวม</t>
  </si>
  <si>
    <t>ประจำปี  2568</t>
  </si>
  <si>
    <t>2568</t>
  </si>
  <si>
    <t>01/02/68</t>
  </si>
  <si>
    <t>01/03/68</t>
  </si>
  <si>
    <t>01/04/68</t>
  </si>
  <si>
    <t>01/03/2568</t>
  </si>
  <si>
    <t>01/02/2568</t>
  </si>
  <si>
    <t>01/04/2568</t>
  </si>
  <si>
    <t>01/05/2568</t>
  </si>
  <si>
    <t>เมษายน /April</t>
  </si>
  <si>
    <t>01/06/2568</t>
  </si>
  <si>
    <t>พฤษภาคม /May</t>
  </si>
  <si>
    <t>มิถุนายน /June</t>
  </si>
  <si>
    <t>01/07/2568</t>
  </si>
  <si>
    <t>กรกฎาคม /July</t>
  </si>
  <si>
    <t>01/08/2568</t>
  </si>
  <si>
    <t>ค่าเบี้ยขยัน</t>
  </si>
  <si>
    <t>อื่น ๆ-สะสม</t>
  </si>
  <si>
    <t>Collection-Other</t>
  </si>
  <si>
    <t>ภาษี-สะสม</t>
  </si>
  <si>
    <t>ประกันสังคม-สะสม</t>
  </si>
  <si>
    <t>รายได้-สะสม</t>
  </si>
  <si>
    <t>รายการ-อื่น ๆ</t>
  </si>
  <si>
    <t>รหัสพนักงาน / Code Staff / ID</t>
  </si>
  <si>
    <t>ใบสรุป-เงินเดือน</t>
  </si>
  <si>
    <t>โอนเข้าบัญชี</t>
  </si>
  <si>
    <t>บริษัท ไอน์ชไตน์ อินดัสเตรียล เทคนิค คอร์ปอเรชั่น จำกัด (EIT)</t>
  </si>
  <si>
    <t>สิงหาคม /August</t>
  </si>
  <si>
    <t>01/09/2568</t>
  </si>
  <si>
    <t>กันยายน /September</t>
  </si>
  <si>
    <t>01/10/2568</t>
  </si>
  <si>
    <t>01/11/2568</t>
  </si>
  <si>
    <t>ตุลาคม /October</t>
  </si>
  <si>
    <t>01/12/2568</t>
  </si>
  <si>
    <t>พฤศจิกายน /November</t>
  </si>
  <si>
    <t>ธันวาคม /December</t>
  </si>
  <si>
    <t>วันที่เริ่มงาน</t>
  </si>
  <si>
    <t>01/05/68</t>
  </si>
  <si>
    <t>01/06/68</t>
  </si>
  <si>
    <t>01/07/68</t>
  </si>
  <si>
    <t>01/08/68</t>
  </si>
  <si>
    <t>01/09/68</t>
  </si>
  <si>
    <t>01/10/68</t>
  </si>
  <si>
    <t>01/11/68</t>
  </si>
  <si>
    <t>01/12/68</t>
  </si>
  <si>
    <t>01/01/69</t>
  </si>
  <si>
    <t>01/01/2569</t>
  </si>
  <si>
    <t>Office</t>
  </si>
  <si>
    <t>Miss Chattawan Sirisanguan</t>
  </si>
  <si>
    <t>นางสาวฉัตรตะวัน ศิริสงวน</t>
  </si>
  <si>
    <t>680801</t>
  </si>
  <si>
    <t>1329901167626</t>
  </si>
  <si>
    <t>Marketing Department</t>
  </si>
  <si>
    <t>Marketing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</si>
</sst>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87" formatCode="_(* #,##0.00_);_(* \(#,##0.00\);_(* &quot;-&quot;??_);_(@_)"/>
  </numFmts>
  <fonts count="23" x14ac:knownFonts="1">
    <font>
      <sz val="11"/>
      <color theme="1"/>
      <name val="Tahoma"/>
      <family val="2"/>
      <charset val="222"/>
      <scheme val="minor"/>
    </font>
    <font>
      <b/>
      <sz val="12"/>
      <color indexed="10"/>
      <name val="AngsanaUPC"/>
      <family val="1"/>
      <charset val="222"/>
    </font>
    <font>
      <b/>
      <sz val="12"/>
      <color indexed="8"/>
      <name val="AngsanaUPC"/>
      <family val="1"/>
      <charset val="222"/>
    </font>
    <font>
      <sz val="11"/>
      <color theme="1"/>
      <name val="Tahoma"/>
      <family val="2"/>
      <charset val="222"/>
      <scheme val="minor"/>
    </font>
    <font>
      <sz val="12"/>
      <color theme="1"/>
      <name val="Angsana New"/>
      <family val="1"/>
    </font>
    <font>
      <b/>
      <sz val="12"/>
      <color theme="1"/>
      <name val="Angsana New"/>
      <family val="1"/>
    </font>
    <font>
      <b/>
      <i/>
      <sz val="12"/>
      <color theme="1"/>
      <name val="Angsana New"/>
      <family val="1"/>
    </font>
    <font>
      <b/>
      <sz val="12"/>
      <color theme="1"/>
      <name val="AngsanaUPC"/>
      <family val="1"/>
      <charset val="222"/>
    </font>
    <font>
      <sz val="10"/>
      <color theme="1"/>
      <name val="Angsana New"/>
      <family val="1"/>
    </font>
    <font>
      <sz val="9"/>
      <color theme="1"/>
      <name val="Angsana New"/>
      <family val="1"/>
    </font>
    <font>
      <sz val="11"/>
      <color theme="1"/>
      <name val="Angsana New"/>
      <family val="1"/>
    </font>
    <font>
      <sz val="8"/>
      <color theme="1"/>
      <name val="Angsana New"/>
      <family val="1"/>
    </font>
    <font>
      <b/>
      <i/>
      <sz val="14"/>
      <color theme="1"/>
      <name val="Angsana New"/>
      <family val="1"/>
    </font>
    <font>
      <b/>
      <i/>
      <u/>
      <sz val="16"/>
      <color theme="1"/>
      <name val="Angsana New"/>
      <family val="1"/>
    </font>
    <font>
      <b/>
      <sz val="14"/>
      <color theme="1"/>
      <name val="Angsana New"/>
      <family val="1"/>
    </font>
    <font>
      <sz val="12"/>
      <color theme="1"/>
      <name val="AngsanaUPC"/>
      <family val="1"/>
      <charset val="222"/>
    </font>
    <font>
      <b/>
      <sz val="14"/>
      <color theme="1"/>
      <name val="AngsanaUPC"/>
      <family val="1"/>
      <charset val="222"/>
    </font>
    <font>
      <b/>
      <sz val="11"/>
      <color theme="1"/>
      <name val="AngsanaUPC"/>
      <family val="1"/>
      <charset val="222"/>
    </font>
    <font>
      <b/>
      <sz val="10"/>
      <color theme="1"/>
      <name val="AngsanaUPC"/>
      <family val="1"/>
      <charset val="222"/>
    </font>
    <font>
      <sz val="11"/>
      <color theme="1"/>
      <name val="AngsanaUPC"/>
      <family val="1"/>
      <charset val="222"/>
    </font>
    <font>
      <b/>
      <sz val="16"/>
      <color theme="1"/>
      <name val="AngsanaUPC"/>
      <family val="1"/>
      <charset val="222"/>
    </font>
    <font>
      <b/>
      <i/>
      <sz val="14"/>
      <color theme="1"/>
      <name val="AngsanaUPC"/>
      <family val="1"/>
      <charset val="222"/>
    </font>
    <font>
      <sz val="8"/>
      <name val="Tahoma"/>
      <family val="2"/>
      <charset val="22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58">
    <xf numFmtId="0" fontId="0" fillId="0" borderId="0" xfId="0"/>
    <xf numFmtId="0" fontId="4" fillId="0" borderId="0" xfId="0" applyFont="1"/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43" fontId="4" fillId="0" borderId="3" xfId="1" applyFont="1" applyBorder="1" applyAlignment="1">
      <alignment horizontal="center"/>
    </xf>
    <xf numFmtId="43" fontId="4" fillId="0" borderId="3" xfId="1" applyFont="1" applyBorder="1"/>
    <xf numFmtId="39" fontId="5" fillId="0" borderId="3" xfId="1" applyNumberFormat="1" applyFont="1" applyBorder="1" applyAlignment="1">
      <alignment horizontal="right"/>
    </xf>
    <xf numFmtId="0" fontId="4" fillId="0" borderId="4" xfId="0" applyFont="1" applyBorder="1" applyAlignment="1">
      <alignment horizontal="center"/>
    </xf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5" xfId="0" applyFont="1" applyBorder="1" applyAlignment="1">
      <alignment horizontal="left"/>
    </xf>
    <xf numFmtId="0" fontId="4" fillId="0" borderId="3" xfId="0" applyFont="1" applyBorder="1" applyAlignment="1">
      <alignment horizontal="center"/>
    </xf>
    <xf numFmtId="0" fontId="4" fillId="0" borderId="8" xfId="0" applyFont="1" applyBorder="1"/>
    <xf numFmtId="0" fontId="4" fillId="0" borderId="9" xfId="0" applyFont="1" applyBorder="1"/>
    <xf numFmtId="0" fontId="4" fillId="0" borderId="10" xfId="0" applyFont="1" applyBorder="1"/>
    <xf numFmtId="0" fontId="4" fillId="0" borderId="11" xfId="0" applyFont="1" applyBorder="1"/>
    <xf numFmtId="0" fontId="4" fillId="0" borderId="12" xfId="0" applyFont="1" applyBorder="1"/>
    <xf numFmtId="0" fontId="4" fillId="0" borderId="13" xfId="0" applyFont="1" applyBorder="1" applyAlignment="1">
      <alignment horizontal="center"/>
    </xf>
    <xf numFmtId="0" fontId="4" fillId="0" borderId="2" xfId="0" applyFont="1" applyBorder="1" applyAlignment="1">
      <alignment horizontal="left"/>
    </xf>
    <xf numFmtId="0" fontId="4" fillId="0" borderId="14" xfId="0" applyFont="1" applyBorder="1" applyAlignment="1">
      <alignment horizontal="center"/>
    </xf>
    <xf numFmtId="0" fontId="4" fillId="0" borderId="1" xfId="0" applyFont="1" applyBorder="1"/>
    <xf numFmtId="0" fontId="4" fillId="0" borderId="10" xfId="0" applyFont="1" applyBorder="1" applyAlignment="1">
      <alignment horizontal="left"/>
    </xf>
    <xf numFmtId="0" fontId="6" fillId="0" borderId="6" xfId="0" applyFont="1" applyBorder="1"/>
    <xf numFmtId="0" fontId="6" fillId="0" borderId="11" xfId="0" applyFont="1" applyBorder="1"/>
    <xf numFmtId="0" fontId="4" fillId="0" borderId="15" xfId="0" applyFont="1" applyBorder="1" applyAlignment="1">
      <alignment horizontal="center"/>
    </xf>
    <xf numFmtId="14" fontId="4" fillId="0" borderId="0" xfId="0" applyNumberFormat="1" applyFont="1" applyAlignment="1">
      <alignment horizontal="center"/>
    </xf>
    <xf numFmtId="0" fontId="4" fillId="0" borderId="16" xfId="0" applyFont="1" applyBorder="1" applyAlignment="1">
      <alignment horizontal="left"/>
    </xf>
    <xf numFmtId="0" fontId="4" fillId="0" borderId="16" xfId="0" applyFont="1" applyBorder="1"/>
    <xf numFmtId="0" fontId="4" fillId="0" borderId="3" xfId="0" applyFont="1" applyBorder="1"/>
    <xf numFmtId="43" fontId="4" fillId="0" borderId="17" xfId="1" applyFont="1" applyBorder="1"/>
    <xf numFmtId="0" fontId="4" fillId="0" borderId="13" xfId="0" applyFont="1" applyBorder="1"/>
    <xf numFmtId="0" fontId="4" fillId="0" borderId="18" xfId="0" applyFont="1" applyBorder="1"/>
    <xf numFmtId="0" fontId="4" fillId="0" borderId="19" xfId="0" applyFont="1" applyBorder="1"/>
    <xf numFmtId="39" fontId="4" fillId="0" borderId="3" xfId="1" applyNumberFormat="1" applyFont="1" applyBorder="1"/>
    <xf numFmtId="43" fontId="4" fillId="0" borderId="5" xfId="1" applyFont="1" applyBorder="1"/>
    <xf numFmtId="43" fontId="4" fillId="0" borderId="19" xfId="0" applyNumberFormat="1" applyFont="1" applyBorder="1"/>
    <xf numFmtId="39" fontId="4" fillId="0" borderId="19" xfId="0" applyNumberFormat="1" applyFont="1" applyBorder="1"/>
    <xf numFmtId="0" fontId="4" fillId="0" borderId="20" xfId="0" applyFont="1" applyBorder="1" applyAlignment="1">
      <alignment horizontal="center"/>
    </xf>
    <xf numFmtId="0" fontId="6" fillId="0" borderId="0" xfId="0" applyFont="1"/>
    <xf numFmtId="49" fontId="7" fillId="0" borderId="2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43" fontId="4" fillId="0" borderId="0" xfId="1" applyFont="1" applyBorder="1"/>
    <xf numFmtId="0" fontId="4" fillId="0" borderId="20" xfId="0" applyFont="1" applyBorder="1"/>
    <xf numFmtId="0" fontId="4" fillId="0" borderId="24" xfId="0" applyFont="1" applyBorder="1"/>
    <xf numFmtId="49" fontId="4" fillId="0" borderId="0" xfId="0" applyNumberFormat="1" applyFont="1" applyAlignment="1">
      <alignment horizontal="left"/>
    </xf>
    <xf numFmtId="49" fontId="4" fillId="0" borderId="0" xfId="0" applyNumberFormat="1" applyFont="1" applyAlignment="1">
      <alignment horizontal="center"/>
    </xf>
    <xf numFmtId="39" fontId="4" fillId="0" borderId="0" xfId="1" applyNumberFormat="1" applyFont="1" applyBorder="1"/>
    <xf numFmtId="43" fontId="5" fillId="0" borderId="0" xfId="1" applyFont="1" applyBorder="1"/>
    <xf numFmtId="43" fontId="4" fillId="0" borderId="20" xfId="1" applyFont="1" applyBorder="1" applyAlignment="1"/>
    <xf numFmtId="39" fontId="4" fillId="0" borderId="3" xfId="1" applyNumberFormat="1" applyFont="1" applyBorder="1" applyAlignment="1"/>
    <xf numFmtId="0" fontId="10" fillId="0" borderId="2" xfId="0" applyFont="1" applyBorder="1" applyAlignment="1">
      <alignment horizontal="center"/>
    </xf>
    <xf numFmtId="0" fontId="4" fillId="0" borderId="4" xfId="0" applyFont="1" applyBorder="1"/>
    <xf numFmtId="0" fontId="6" fillId="0" borderId="5" xfId="0" applyFont="1" applyBorder="1"/>
    <xf numFmtId="0" fontId="6" fillId="0" borderId="10" xfId="0" applyFont="1" applyBorder="1"/>
    <xf numFmtId="0" fontId="11" fillId="0" borderId="0" xfId="0" applyFont="1" applyAlignment="1">
      <alignment horizontal="center"/>
    </xf>
    <xf numFmtId="0" fontId="9" fillId="0" borderId="20" xfId="0" applyFont="1" applyBorder="1" applyAlignment="1">
      <alignment horizontal="center"/>
    </xf>
    <xf numFmtId="39" fontId="4" fillId="0" borderId="20" xfId="1" applyNumberFormat="1" applyFont="1" applyBorder="1" applyAlignment="1"/>
    <xf numFmtId="0" fontId="12" fillId="0" borderId="0" xfId="0" applyFont="1"/>
    <xf numFmtId="0" fontId="5" fillId="0" borderId="19" xfId="0" applyFont="1" applyBorder="1" applyAlignment="1">
      <alignment horizontal="center"/>
    </xf>
    <xf numFmtId="49" fontId="5" fillId="0" borderId="13" xfId="0" applyNumberFormat="1" applyFont="1" applyBorder="1" applyAlignment="1">
      <alignment horizontal="center"/>
    </xf>
    <xf numFmtId="43" fontId="14" fillId="0" borderId="17" xfId="1" applyFont="1" applyBorder="1"/>
    <xf numFmtId="0" fontId="5" fillId="0" borderId="25" xfId="0" applyFont="1" applyBorder="1"/>
    <xf numFmtId="0" fontId="5" fillId="0" borderId="12" xfId="0" applyFont="1" applyBorder="1"/>
    <xf numFmtId="0" fontId="4" fillId="0" borderId="23" xfId="0" applyFont="1" applyBorder="1"/>
    <xf numFmtId="0" fontId="5" fillId="0" borderId="26" xfId="0" applyFont="1" applyBorder="1"/>
    <xf numFmtId="0" fontId="4" fillId="0" borderId="27" xfId="0" applyFont="1" applyBorder="1"/>
    <xf numFmtId="0" fontId="4" fillId="0" borderId="28" xfId="0" applyFont="1" applyBorder="1"/>
    <xf numFmtId="0" fontId="4" fillId="0" borderId="29" xfId="0" applyFont="1" applyBorder="1"/>
    <xf numFmtId="0" fontId="14" fillId="0" borderId="28" xfId="0" applyFont="1" applyBorder="1" applyAlignment="1">
      <alignment horizontal="left"/>
    </xf>
    <xf numFmtId="0" fontId="15" fillId="0" borderId="0" xfId="0" applyFont="1" applyAlignment="1">
      <alignment vertical="center"/>
    </xf>
    <xf numFmtId="0" fontId="4" fillId="0" borderId="5" xfId="0" applyFont="1" applyBorder="1" applyAlignment="1">
      <alignment horizontal="left" vertical="center"/>
    </xf>
    <xf numFmtId="0" fontId="15" fillId="0" borderId="7" xfId="0" applyFont="1" applyBorder="1" applyAlignment="1">
      <alignment horizontal="center" vertical="center"/>
    </xf>
    <xf numFmtId="0" fontId="15" fillId="0" borderId="7" xfId="0" applyFont="1" applyBorder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14" fontId="7" fillId="0" borderId="0" xfId="0" applyNumberFormat="1" applyFont="1" applyAlignment="1">
      <alignment vertical="center"/>
    </xf>
    <xf numFmtId="14" fontId="16" fillId="0" borderId="0" xfId="0" applyNumberFormat="1" applyFont="1" applyAlignment="1">
      <alignment horizontal="center" vertical="center"/>
    </xf>
    <xf numFmtId="0" fontId="4" fillId="0" borderId="20" xfId="0" applyFont="1" applyBorder="1" applyAlignment="1">
      <alignment vertical="center"/>
    </xf>
    <xf numFmtId="0" fontId="4" fillId="0" borderId="30" xfId="0" applyFont="1" applyBorder="1" applyAlignment="1">
      <alignment vertical="center"/>
    </xf>
    <xf numFmtId="49" fontId="7" fillId="0" borderId="0" xfId="0" applyNumberFormat="1" applyFont="1" applyAlignment="1">
      <alignment vertical="center"/>
    </xf>
    <xf numFmtId="0" fontId="15" fillId="0" borderId="0" xfId="0" applyFont="1" applyAlignment="1">
      <alignment horizontal="left" vertical="center"/>
    </xf>
    <xf numFmtId="0" fontId="4" fillId="0" borderId="4" xfId="0" applyFont="1" applyBorder="1" applyAlignment="1">
      <alignment vertical="center"/>
    </xf>
    <xf numFmtId="0" fontId="4" fillId="0" borderId="31" xfId="0" applyFont="1" applyBorder="1" applyAlignment="1">
      <alignment vertical="center"/>
    </xf>
    <xf numFmtId="49" fontId="17" fillId="0" borderId="32" xfId="0" applyNumberFormat="1" applyFont="1" applyBorder="1" applyAlignment="1">
      <alignment horizontal="center" vertical="center"/>
    </xf>
    <xf numFmtId="0" fontId="17" fillId="0" borderId="33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7" fillId="0" borderId="34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49" fontId="17" fillId="0" borderId="37" xfId="0" applyNumberFormat="1" applyFont="1" applyBorder="1" applyAlignment="1">
      <alignment horizontal="center" vertical="center"/>
    </xf>
    <xf numFmtId="0" fontId="17" fillId="0" borderId="38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9" fillId="0" borderId="37" xfId="0" applyFont="1" applyBorder="1" applyAlignment="1">
      <alignment horizontal="center" vertical="center"/>
    </xf>
    <xf numFmtId="0" fontId="17" fillId="0" borderId="39" xfId="0" applyFont="1" applyBorder="1" applyAlignment="1">
      <alignment horizontal="center" vertical="center"/>
    </xf>
    <xf numFmtId="0" fontId="17" fillId="0" borderId="37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5" fillId="0" borderId="37" xfId="0" applyFont="1" applyBorder="1" applyAlignment="1">
      <alignment horizontal="center" vertical="center"/>
    </xf>
    <xf numFmtId="49" fontId="20" fillId="0" borderId="21" xfId="0" applyNumberFormat="1" applyFont="1" applyBorder="1" applyAlignment="1">
      <alignment horizontal="center" vertical="center"/>
    </xf>
    <xf numFmtId="4" fontId="15" fillId="0" borderId="21" xfId="0" applyNumberFormat="1" applyFont="1" applyBorder="1" applyAlignment="1">
      <alignment vertical="center"/>
    </xf>
    <xf numFmtId="39" fontId="15" fillId="0" borderId="21" xfId="0" applyNumberFormat="1" applyFont="1" applyBorder="1" applyAlignment="1">
      <alignment vertical="center"/>
    </xf>
    <xf numFmtId="4" fontId="7" fillId="0" borderId="21" xfId="0" applyNumberFormat="1" applyFont="1" applyBorder="1" applyAlignment="1">
      <alignment vertical="center"/>
    </xf>
    <xf numFmtId="0" fontId="15" fillId="0" borderId="21" xfId="0" applyFont="1" applyBorder="1" applyAlignment="1">
      <alignment horizontal="center" vertical="center"/>
    </xf>
    <xf numFmtId="0" fontId="15" fillId="0" borderId="21" xfId="0" applyFont="1" applyBorder="1" applyAlignment="1">
      <alignment vertical="center"/>
    </xf>
    <xf numFmtId="4" fontId="15" fillId="0" borderId="40" xfId="0" applyNumberFormat="1" applyFont="1" applyBorder="1" applyAlignment="1">
      <alignment vertical="center"/>
    </xf>
    <xf numFmtId="39" fontId="7" fillId="0" borderId="40" xfId="0" applyNumberFormat="1" applyFont="1" applyBorder="1" applyAlignment="1">
      <alignment vertical="center"/>
    </xf>
    <xf numFmtId="49" fontId="7" fillId="0" borderId="40" xfId="0" applyNumberFormat="1" applyFont="1" applyBorder="1" applyAlignment="1">
      <alignment horizontal="center" vertical="center"/>
    </xf>
    <xf numFmtId="49" fontId="7" fillId="0" borderId="41" xfId="0" applyNumberFormat="1" applyFont="1" applyBorder="1" applyAlignment="1">
      <alignment horizontal="center" vertical="center"/>
    </xf>
    <xf numFmtId="4" fontId="7" fillId="0" borderId="41" xfId="0" applyNumberFormat="1" applyFont="1" applyBorder="1" applyAlignment="1">
      <alignment vertical="center"/>
    </xf>
    <xf numFmtId="43" fontId="7" fillId="0" borderId="41" xfId="0" applyNumberFormat="1" applyFont="1" applyBorder="1" applyAlignment="1">
      <alignment vertical="center"/>
    </xf>
    <xf numFmtId="39" fontId="7" fillId="0" borderId="41" xfId="0" applyNumberFormat="1" applyFont="1" applyBorder="1" applyAlignment="1">
      <alignment vertical="center"/>
    </xf>
    <xf numFmtId="0" fontId="7" fillId="0" borderId="41" xfId="0" applyFont="1" applyBorder="1" applyAlignment="1">
      <alignment horizontal="center" vertical="center"/>
    </xf>
    <xf numFmtId="0" fontId="7" fillId="0" borderId="42" xfId="0" applyFont="1" applyBorder="1" applyAlignment="1">
      <alignment horizontal="center" vertical="center"/>
    </xf>
    <xf numFmtId="4" fontId="16" fillId="0" borderId="37" xfId="0" applyNumberFormat="1" applyFont="1" applyBorder="1" applyAlignment="1">
      <alignment vertical="center"/>
    </xf>
    <xf numFmtId="39" fontId="16" fillId="0" borderId="37" xfId="0" applyNumberFormat="1" applyFont="1" applyBorder="1" applyAlignment="1">
      <alignment vertical="center"/>
    </xf>
    <xf numFmtId="4" fontId="7" fillId="0" borderId="37" xfId="0" applyNumberFormat="1" applyFont="1" applyBorder="1" applyAlignment="1">
      <alignment vertical="center"/>
    </xf>
    <xf numFmtId="0" fontId="15" fillId="0" borderId="37" xfId="0" applyFont="1" applyBorder="1" applyAlignment="1">
      <alignment vertical="center"/>
    </xf>
    <xf numFmtId="0" fontId="21" fillId="0" borderId="20" xfId="0" applyFont="1" applyBorder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21" fillId="0" borderId="30" xfId="0" applyFont="1" applyBorder="1" applyAlignment="1">
      <alignment horizontal="left" vertical="center"/>
    </xf>
    <xf numFmtId="0" fontId="21" fillId="0" borderId="16" xfId="0" applyFont="1" applyBorder="1" applyAlignment="1">
      <alignment horizontal="left" vertical="center"/>
    </xf>
    <xf numFmtId="0" fontId="21" fillId="0" borderId="31" xfId="0" applyFont="1" applyBorder="1" applyAlignment="1">
      <alignment horizontal="left" vertical="center"/>
    </xf>
    <xf numFmtId="0" fontId="21" fillId="0" borderId="28" xfId="0" applyFont="1" applyBorder="1" applyAlignment="1">
      <alignment horizontal="left" vertical="center"/>
    </xf>
    <xf numFmtId="0" fontId="21" fillId="0" borderId="43" xfId="0" applyFont="1" applyBorder="1" applyAlignment="1">
      <alignment horizontal="left" vertical="center"/>
    </xf>
    <xf numFmtId="0" fontId="21" fillId="0" borderId="44" xfId="0" applyFont="1" applyBorder="1" applyAlignment="1">
      <alignment horizontal="left" vertical="center"/>
    </xf>
    <xf numFmtId="49" fontId="21" fillId="0" borderId="28" xfId="0" applyNumberFormat="1" applyFont="1" applyBorder="1" applyAlignment="1">
      <alignment horizontal="left" vertical="center"/>
    </xf>
    <xf numFmtId="49" fontId="21" fillId="0" borderId="30" xfId="0" applyNumberFormat="1" applyFont="1" applyBorder="1" applyAlignment="1">
      <alignment horizontal="left" vertical="center"/>
    </xf>
    <xf numFmtId="0" fontId="15" fillId="0" borderId="12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15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vertical="center"/>
    </xf>
    <xf numFmtId="0" fontId="4" fillId="0" borderId="28" xfId="0" applyFont="1" applyBorder="1" applyAlignment="1">
      <alignment vertical="center"/>
    </xf>
    <xf numFmtId="0" fontId="4" fillId="0" borderId="44" xfId="0" applyFont="1" applyBorder="1" applyAlignment="1">
      <alignment vertical="center"/>
    </xf>
    <xf numFmtId="0" fontId="16" fillId="0" borderId="5" xfId="0" applyFont="1" applyBorder="1" applyAlignment="1">
      <alignment horizontal="left" vertical="center"/>
    </xf>
    <xf numFmtId="0" fontId="16" fillId="0" borderId="6" xfId="0" applyFont="1" applyBorder="1" applyAlignment="1">
      <alignment horizontal="left" vertical="center"/>
    </xf>
    <xf numFmtId="0" fontId="16" fillId="0" borderId="10" xfId="0" applyFont="1" applyBorder="1" applyAlignment="1">
      <alignment horizontal="left" vertical="center"/>
    </xf>
    <xf numFmtId="0" fontId="16" fillId="0" borderId="11" xfId="0" applyFont="1" applyBorder="1" applyAlignment="1">
      <alignment horizontal="left" vertical="center"/>
    </xf>
    <xf numFmtId="49" fontId="14" fillId="0" borderId="29" xfId="0" applyNumberFormat="1" applyFont="1" applyBorder="1"/>
    <xf numFmtId="49" fontId="4" fillId="0" borderId="23" xfId="0" applyNumberFormat="1" applyFont="1" applyBorder="1"/>
    <xf numFmtId="2" fontId="4" fillId="0" borderId="17" xfId="1" applyNumberFormat="1" applyFont="1" applyBorder="1"/>
    <xf numFmtId="2" fontId="4" fillId="0" borderId="3" xfId="1" applyNumberFormat="1" applyFont="1" applyBorder="1" applyAlignment="1"/>
    <xf numFmtId="2" fontId="4" fillId="0" borderId="23" xfId="1" applyNumberFormat="1" applyFont="1" applyBorder="1"/>
    <xf numFmtId="187" fontId="4" fillId="0" borderId="3" xfId="1" applyNumberFormat="1" applyFont="1" applyBorder="1"/>
    <xf numFmtId="49" fontId="21" fillId="0" borderId="4" xfId="0" applyNumberFormat="1" applyFont="1" applyBorder="1" applyAlignment="1">
      <alignment horizontal="left" vertical="center"/>
    </xf>
    <xf numFmtId="49" fontId="14" fillId="2" borderId="45" xfId="0" applyNumberFormat="1" applyFont="1" applyFill="1" applyBorder="1" applyAlignment="1">
      <alignment horizontal="left" vertical="center"/>
    </xf>
    <xf numFmtId="0" fontId="1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15" fillId="0" borderId="0" xfId="0" applyFont="1" applyAlignment="1">
      <alignment horizontal="center" vertical="center"/>
    </xf>
    <xf numFmtId="0" fontId="15" fillId="0" borderId="35" xfId="0" applyFont="1" applyBorder="1" applyAlignment="1">
      <alignment horizontal="center" vertical="center"/>
    </xf>
    <xf numFmtId="0" fontId="15" fillId="0" borderId="36" xfId="0" applyFont="1" applyBorder="1" applyAlignment="1">
      <alignment horizontal="center" vertical="center"/>
    </xf>
  </cellXfs>
  <cellStyles count="2">
    <cellStyle name="จุลภาค" xfId="1" builtinId="3"/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C15F1-D715-4872-BA80-027C3DB12AD9}">
  <dimension ref="A1:K25"/>
  <sheetViews>
    <sheetView topLeftCell="A10" zoomScale="120" zoomScaleNormal="120" workbookViewId="0">
      <selection activeCell="C20" sqref="C20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0.5" customHeight="1" thickBot="1" x14ac:dyDescent="0.5"/>
    <row r="7" spans="1:11" ht="21" thickBot="1" x14ac:dyDescent="0.6">
      <c r="D7" s="71" t="s">
        <v>92</v>
      </c>
      <c r="E7" s="72"/>
      <c r="F7" s="73" t="str">
        <f>+'ใบสรุป-68'!C6</f>
        <v>680801</v>
      </c>
      <c r="G7" s="143" t="str">
        <f>+'ใบสรุป-68'!D6</f>
        <v>1329901167626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4" t="str">
        <f>+'ใบสรุป-68'!C7</f>
        <v>Marketing Department</v>
      </c>
      <c r="G8" s="69"/>
      <c r="H8" s="47"/>
      <c r="I8" s="64" t="s">
        <v>75</v>
      </c>
      <c r="K8" s="50"/>
    </row>
    <row r="9" spans="1:11" x14ac:dyDescent="0.45">
      <c r="D9" s="14" t="s">
        <v>29</v>
      </c>
      <c r="E9" s="15"/>
      <c r="F9" s="14" t="str">
        <f>+'ใบสรุป-68'!C8</f>
        <v>Office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Marketing</v>
      </c>
      <c r="G10" s="67"/>
      <c r="H10" s="47"/>
      <c r="I10" s="63" t="s">
        <v>37</v>
      </c>
      <c r="K10" s="44"/>
    </row>
    <row r="11" spans="1:11" x14ac:dyDescent="0.45">
      <c r="A11" s="12" t="s">
        <v>1</v>
      </c>
      <c r="B11" s="9" t="str">
        <f>+'ใบสรุป-68'!C4</f>
        <v>Miss Chattawan Sirisanguan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นางสาวฉัตรตะวัน ศิริสงวน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6"/>
      <c r="C20" s="7"/>
      <c r="D20" s="146">
        <v>0</v>
      </c>
      <c r="E20" s="146">
        <v>0</v>
      </c>
      <c r="F20" s="46"/>
      <c r="G20" s="46"/>
      <c r="H20" s="46"/>
      <c r="I20" s="35">
        <f>+B20+C20+D20+E20</f>
        <v>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6">
        <f>I16</f>
        <v>0</v>
      </c>
      <c r="C24" s="6">
        <f>C20</f>
        <v>0</v>
      </c>
      <c r="D24" s="36">
        <f>B20</f>
        <v>0</v>
      </c>
      <c r="E24" s="54">
        <f>F16+G16+D20+E20</f>
        <v>0</v>
      </c>
      <c r="F24" s="61"/>
      <c r="I24" s="65">
        <f>+I16-I20</f>
        <v>0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5:I5"/>
    <mergeCell ref="A1:I1"/>
    <mergeCell ref="A2:I2"/>
    <mergeCell ref="A3:I3"/>
  </mergeCells>
  <pageMargins left="0.56496062992125984" right="0" top="0.39370078740157483" bottom="0" header="0.31496062992125984" footer="0.31496062992125984"/>
  <pageSetup paperSize="9" scale="90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38E7D-B5D4-462C-B285-A4F1CEFE8E71}">
  <dimension ref="A1:K25"/>
  <sheetViews>
    <sheetView topLeftCell="A10" zoomScale="110" zoomScaleNormal="110" workbookViewId="0">
      <selection activeCell="C20" sqref="C20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0.5" customHeight="1" thickBot="1" x14ac:dyDescent="0.5"/>
    <row r="7" spans="1:11" ht="21" thickBot="1" x14ac:dyDescent="0.6">
      <c r="D7" s="71" t="s">
        <v>92</v>
      </c>
      <c r="E7" s="72"/>
      <c r="F7" s="73" t="str">
        <f>+'ใบสรุป-68'!C6</f>
        <v>680801</v>
      </c>
      <c r="G7" s="143" t="str">
        <f>+'ใบสรุป-68'!D6</f>
        <v>1329901167626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4" t="str">
        <f>+'ใบสรุป-68'!C7</f>
        <v>Marketing Department</v>
      </c>
      <c r="G8" s="69"/>
      <c r="H8" s="47"/>
      <c r="I8" s="64" t="s">
        <v>74</v>
      </c>
      <c r="K8" s="50"/>
    </row>
    <row r="9" spans="1:11" x14ac:dyDescent="0.45">
      <c r="D9" s="14" t="s">
        <v>29</v>
      </c>
      <c r="E9" s="15"/>
      <c r="F9" s="14" t="str">
        <f>+'ใบสรุป-68'!C8</f>
        <v>Office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Marketing</v>
      </c>
      <c r="G10" s="67"/>
      <c r="H10" s="47"/>
      <c r="I10" s="63" t="s">
        <v>38</v>
      </c>
      <c r="K10" s="44"/>
    </row>
    <row r="11" spans="1:11" x14ac:dyDescent="0.45">
      <c r="A11" s="12" t="s">
        <v>1</v>
      </c>
      <c r="B11" s="9" t="str">
        <f>+'ใบสรุป-68'!C4</f>
        <v>Miss Chattawan Sirisanguan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นางสาวฉัตรตะวัน ศิริสงวน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6"/>
      <c r="C20" s="7"/>
      <c r="D20" s="146">
        <v>0</v>
      </c>
      <c r="E20" s="146">
        <v>0</v>
      </c>
      <c r="F20" s="46"/>
      <c r="G20" s="46"/>
      <c r="H20" s="46"/>
      <c r="I20" s="35">
        <f>+B20+C20+D20+E20</f>
        <v>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6">
        <f>I16+'68-jan'!B24</f>
        <v>0</v>
      </c>
      <c r="C24" s="35">
        <f>C20+'68-jan'!C24</f>
        <v>0</v>
      </c>
      <c r="D24" s="36">
        <f>B20+'68-jan'!D24</f>
        <v>0</v>
      </c>
      <c r="E24" s="54"/>
      <c r="F24" s="61"/>
      <c r="I24" s="65">
        <f>I16-I20</f>
        <v>0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F1077-5BA2-44BD-AC22-01D1BD37AD46}">
  <dimension ref="A1:K25"/>
  <sheetViews>
    <sheetView topLeftCell="A10" zoomScale="110" zoomScaleNormal="110" workbookViewId="0">
      <selection activeCell="B20" sqref="B20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0.5" customHeight="1" thickBot="1" x14ac:dyDescent="0.5"/>
    <row r="7" spans="1:11" ht="21" thickBot="1" x14ac:dyDescent="0.6">
      <c r="D7" s="71" t="s">
        <v>92</v>
      </c>
      <c r="E7" s="72"/>
      <c r="F7" s="73" t="str">
        <f>+'ใบสรุป-68'!C6</f>
        <v>680801</v>
      </c>
      <c r="G7" s="143" t="str">
        <f>+'ใบสรุป-68'!D6</f>
        <v>1329901167626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4" t="str">
        <f>+'ใบสรุป-68'!C7</f>
        <v>Marketing Department</v>
      </c>
      <c r="G8" s="69"/>
      <c r="H8" s="47"/>
      <c r="I8" s="64" t="s">
        <v>76</v>
      </c>
      <c r="K8" s="50"/>
    </row>
    <row r="9" spans="1:11" x14ac:dyDescent="0.45">
      <c r="D9" s="14" t="s">
        <v>29</v>
      </c>
      <c r="E9" s="15"/>
      <c r="F9" s="14" t="str">
        <f>+'ใบสรุป-68'!C8</f>
        <v>Office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Marketing</v>
      </c>
      <c r="G10" s="67"/>
      <c r="H10" s="47"/>
      <c r="I10" s="63" t="s">
        <v>39</v>
      </c>
      <c r="K10" s="44"/>
    </row>
    <row r="11" spans="1:11" x14ac:dyDescent="0.45">
      <c r="A11" s="12" t="s">
        <v>1</v>
      </c>
      <c r="B11" s="9" t="str">
        <f>+'ใบสรุป-68'!C4</f>
        <v>Miss Chattawan Sirisanguan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นางสาวฉัตรตะวัน ศิริสงวน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6"/>
      <c r="C20" s="7"/>
      <c r="D20" s="146">
        <v>0</v>
      </c>
      <c r="E20" s="146">
        <v>0</v>
      </c>
      <c r="F20" s="46"/>
      <c r="G20" s="46"/>
      <c r="H20" s="46"/>
      <c r="I20" s="35">
        <f>+B20+C20+D20+E20</f>
        <v>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148">
        <f>I16+'68-Feb'!B24</f>
        <v>0</v>
      </c>
      <c r="C24" s="35">
        <f>C20+'68-Feb'!C24</f>
        <v>0</v>
      </c>
      <c r="D24" s="36">
        <f>B20+'68-Feb'!D24</f>
        <v>0</v>
      </c>
      <c r="E24" s="54"/>
      <c r="F24" s="61"/>
      <c r="I24" s="65">
        <f>+I16-I20</f>
        <v>0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212E1-7D6B-48E6-9A22-3AB8D9CAACDB}">
  <dimension ref="A1:K25"/>
  <sheetViews>
    <sheetView topLeftCell="A13" zoomScale="110" zoomScaleNormal="110" workbookViewId="0">
      <selection activeCell="B20" sqref="B20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0.5" customHeight="1" thickBot="1" x14ac:dyDescent="0.5"/>
    <row r="7" spans="1:11" ht="21" thickBot="1" x14ac:dyDescent="0.6">
      <c r="D7" s="71" t="s">
        <v>92</v>
      </c>
      <c r="E7" s="72"/>
      <c r="F7" s="73" t="str">
        <f>+'ใบสรุป-68'!C6</f>
        <v>680801</v>
      </c>
      <c r="G7" s="143" t="str">
        <f>+'ใบสรุป-68'!D6</f>
        <v>1329901167626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4" t="str">
        <f>+'ใบสรุป-68'!C7</f>
        <v>Marketing Department</v>
      </c>
      <c r="G8" s="69"/>
      <c r="H8" s="47"/>
      <c r="I8" s="64" t="s">
        <v>77</v>
      </c>
      <c r="K8" s="50"/>
    </row>
    <row r="9" spans="1:11" x14ac:dyDescent="0.45">
      <c r="D9" s="14" t="s">
        <v>29</v>
      </c>
      <c r="E9" s="15"/>
      <c r="F9" s="14" t="str">
        <f>+'ใบสรุป-68'!C8</f>
        <v>Office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Marketing</v>
      </c>
      <c r="G10" s="67"/>
      <c r="H10" s="47"/>
      <c r="I10" s="63" t="s">
        <v>78</v>
      </c>
      <c r="K10" s="44"/>
    </row>
    <row r="11" spans="1:11" x14ac:dyDescent="0.45">
      <c r="A11" s="12" t="s">
        <v>1</v>
      </c>
      <c r="B11" s="9" t="str">
        <f>+'ใบสรุป-68'!C4</f>
        <v>Miss Chattawan Sirisanguan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นางสาวฉัตรตะวัน ศิริสงวน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6"/>
      <c r="C20" s="7"/>
      <c r="D20" s="146">
        <v>0</v>
      </c>
      <c r="E20" s="146">
        <v>0</v>
      </c>
      <c r="F20" s="46"/>
      <c r="G20" s="46"/>
      <c r="H20" s="46"/>
      <c r="I20" s="35">
        <f>+B20+C20+D20+E20</f>
        <v>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148">
        <f>I16+'68-Mar'!B24</f>
        <v>0</v>
      </c>
      <c r="C24" s="35">
        <f>C20+'68-Mar'!C24</f>
        <v>0</v>
      </c>
      <c r="D24" s="36">
        <f>B20+'68-Mar'!D24</f>
        <v>0</v>
      </c>
      <c r="E24" s="54"/>
      <c r="F24" s="61"/>
      <c r="I24" s="65">
        <f>+I16-I20</f>
        <v>0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F7DC3-DA1D-42B8-B21B-15D4D63C720B}">
  <dimension ref="A1:K25"/>
  <sheetViews>
    <sheetView topLeftCell="A10" zoomScale="110" zoomScaleNormal="110" workbookViewId="0">
      <selection activeCell="B20" sqref="B20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 x14ac:dyDescent="0.5"/>
    <row r="7" spans="1:11" ht="21" thickBot="1" x14ac:dyDescent="0.6">
      <c r="D7" s="71" t="s">
        <v>92</v>
      </c>
      <c r="E7" s="72"/>
      <c r="F7" s="73" t="str">
        <f>+'ใบสรุป-68'!C6</f>
        <v>680801</v>
      </c>
      <c r="G7" s="143" t="str">
        <f>+'ใบสรุป-68'!D6</f>
        <v>1329901167626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4" t="str">
        <f>+'ใบสรุป-68'!C7</f>
        <v>Marketing Department</v>
      </c>
      <c r="G8" s="69"/>
      <c r="H8" s="47"/>
      <c r="I8" s="64" t="s">
        <v>79</v>
      </c>
      <c r="K8" s="50"/>
    </row>
    <row r="9" spans="1:11" x14ac:dyDescent="0.45">
      <c r="D9" s="14" t="s">
        <v>29</v>
      </c>
      <c r="E9" s="15"/>
      <c r="F9" s="14" t="str">
        <f>+'ใบสรุป-68'!C8</f>
        <v>Office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Marketing</v>
      </c>
      <c r="G10" s="67"/>
      <c r="H10" s="47"/>
      <c r="I10" s="63" t="s">
        <v>80</v>
      </c>
      <c r="K10" s="44"/>
    </row>
    <row r="11" spans="1:11" x14ac:dyDescent="0.45">
      <c r="A11" s="12" t="s">
        <v>1</v>
      </c>
      <c r="B11" s="9" t="str">
        <f>+'ใบสรุป-68'!C4</f>
        <v>Miss Chattawan Sirisanguan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นางสาวฉัตรตะวัน ศิริสงวน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6"/>
      <c r="C20" s="7"/>
      <c r="D20" s="146">
        <v>0</v>
      </c>
      <c r="E20" s="146">
        <v>0</v>
      </c>
      <c r="F20" s="46"/>
      <c r="G20" s="46"/>
      <c r="H20" s="46"/>
      <c r="I20" s="35">
        <f>+B20+C20+D20+E20</f>
        <v>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148">
        <f>I16+'68-Apr'!B24</f>
        <v>0</v>
      </c>
      <c r="C24" s="35">
        <f>C20+'68-Apr'!C24</f>
        <v>0</v>
      </c>
      <c r="D24" s="36">
        <f>B20+'68-Apr'!D24</f>
        <v>0</v>
      </c>
      <c r="E24" s="54"/>
      <c r="F24" s="61"/>
      <c r="I24" s="65">
        <f>+I16-I20</f>
        <v>0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6FCD8-F761-45F0-9071-AC9367A1A676}">
  <dimension ref="A1:K25"/>
  <sheetViews>
    <sheetView topLeftCell="A10" zoomScale="110" zoomScaleNormal="110" workbookViewId="0">
      <selection activeCell="B20" sqref="B20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 x14ac:dyDescent="0.5"/>
    <row r="7" spans="1:11" ht="21" thickBot="1" x14ac:dyDescent="0.6">
      <c r="D7" s="71" t="s">
        <v>92</v>
      </c>
      <c r="E7" s="72"/>
      <c r="F7" s="73" t="str">
        <f>+'ใบสรุป-68'!C6</f>
        <v>680801</v>
      </c>
      <c r="G7" s="143" t="str">
        <f>+'ใบสรุป-68'!D6</f>
        <v>1329901167626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4" t="str">
        <f>+'ใบสรุป-68'!C7</f>
        <v>Marketing Department</v>
      </c>
      <c r="G8" s="69"/>
      <c r="H8" s="47"/>
      <c r="I8" s="64" t="s">
        <v>82</v>
      </c>
      <c r="K8" s="50"/>
    </row>
    <row r="9" spans="1:11" x14ac:dyDescent="0.45">
      <c r="D9" s="14" t="s">
        <v>29</v>
      </c>
      <c r="E9" s="15"/>
      <c r="F9" s="14" t="str">
        <f>+'ใบสรุป-68'!C8</f>
        <v>Office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Marketing</v>
      </c>
      <c r="G10" s="67"/>
      <c r="H10" s="47"/>
      <c r="I10" s="63" t="s">
        <v>81</v>
      </c>
      <c r="K10" s="44"/>
    </row>
    <row r="11" spans="1:11" x14ac:dyDescent="0.45">
      <c r="A11" s="12" t="s">
        <v>1</v>
      </c>
      <c r="B11" s="9" t="str">
        <f>+'ใบสรุป-68'!C4</f>
        <v>Miss Chattawan Sirisanguan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นางสาวฉัตรตะวัน ศิริสงวน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6"/>
      <c r="C20" s="7"/>
      <c r="D20" s="146">
        <v>0</v>
      </c>
      <c r="E20" s="146">
        <v>0</v>
      </c>
      <c r="F20" s="46"/>
      <c r="G20" s="46"/>
      <c r="H20" s="46"/>
      <c r="I20" s="35">
        <f>+B20+C20+D20+E20</f>
        <v>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148">
        <f>I16+'68-May'!B24</f>
        <v>0</v>
      </c>
      <c r="C24" s="35">
        <f>C20+'68-May'!C24</f>
        <v>0</v>
      </c>
      <c r="D24" s="36">
        <f>B20+'68-May'!D24</f>
        <v>0</v>
      </c>
      <c r="E24" s="54"/>
      <c r="F24" s="61"/>
      <c r="I24" s="65">
        <f>+I16-I20</f>
        <v>0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15F26-C01F-46CC-9BA6-D096E0CCE7B2}">
  <dimension ref="A1:K25"/>
  <sheetViews>
    <sheetView topLeftCell="A13" zoomScale="110" zoomScaleNormal="110" workbookViewId="0">
      <selection activeCell="B20" sqref="B20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 x14ac:dyDescent="0.5"/>
    <row r="7" spans="1:11" ht="21" thickBot="1" x14ac:dyDescent="0.6">
      <c r="D7" s="71" t="s">
        <v>92</v>
      </c>
      <c r="E7" s="72"/>
      <c r="F7" s="73" t="str">
        <f>+'ใบสรุป-68'!C6</f>
        <v>680801</v>
      </c>
      <c r="G7" s="143" t="str">
        <f>+'ใบสรุป-68'!D6</f>
        <v>1329901167626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4" t="str">
        <f>+'ใบสรุป-68'!C7</f>
        <v>Marketing Department</v>
      </c>
      <c r="G8" s="69"/>
      <c r="H8" s="47"/>
      <c r="I8" s="64" t="s">
        <v>84</v>
      </c>
      <c r="K8" s="50"/>
    </row>
    <row r="9" spans="1:11" x14ac:dyDescent="0.45">
      <c r="D9" s="14" t="s">
        <v>29</v>
      </c>
      <c r="E9" s="15"/>
      <c r="F9" s="14" t="str">
        <f>+'ใบสรุป-68'!C8</f>
        <v>Office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Marketing</v>
      </c>
      <c r="G10" s="67"/>
      <c r="H10" s="47"/>
      <c r="I10" s="63" t="s">
        <v>83</v>
      </c>
      <c r="K10" s="44"/>
    </row>
    <row r="11" spans="1:11" x14ac:dyDescent="0.45">
      <c r="A11" s="12" t="s">
        <v>1</v>
      </c>
      <c r="B11" s="9" t="str">
        <f>+'ใบสรุป-68'!C4</f>
        <v>Miss Chattawan Sirisanguan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นางสาวฉัตรตะวัน ศิริสงวน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6"/>
      <c r="C20" s="7"/>
      <c r="D20" s="146">
        <v>0</v>
      </c>
      <c r="E20" s="146">
        <v>0</v>
      </c>
      <c r="F20" s="46"/>
      <c r="G20" s="46"/>
      <c r="H20" s="46"/>
      <c r="I20" s="35">
        <f>+B20+C20+D20+E20</f>
        <v>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148">
        <f>I16+'68-Jun'!B24</f>
        <v>0</v>
      </c>
      <c r="C24" s="35">
        <f>C20+'68-Jun'!C24</f>
        <v>0</v>
      </c>
      <c r="D24" s="36">
        <f>B20+'68-Jun'!D24</f>
        <v>0</v>
      </c>
      <c r="E24" s="54"/>
      <c r="F24" s="61"/>
      <c r="I24" s="65">
        <f>+I16-I20</f>
        <v>0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BAD81-AAD0-497F-89B7-145437218631}">
  <dimension ref="A1:K25"/>
  <sheetViews>
    <sheetView topLeftCell="A13" zoomScale="110" zoomScaleNormal="110" workbookViewId="0">
      <selection activeCell="C21" sqref="C21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 x14ac:dyDescent="0.5"/>
    <row r="7" spans="1:11" ht="21" thickBot="1" x14ac:dyDescent="0.6">
      <c r="D7" s="71" t="s">
        <v>92</v>
      </c>
      <c r="E7" s="72"/>
      <c r="F7" s="73" t="str">
        <f>+'ใบสรุป-68'!C6</f>
        <v>680801</v>
      </c>
      <c r="G7" s="143" t="str">
        <f>+'ใบสรุป-68'!D6</f>
        <v>1329901167626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4" t="str">
        <f>+'ใบสรุป-68'!C7</f>
        <v>Marketing Department</v>
      </c>
      <c r="G8" s="69"/>
      <c r="H8" s="47"/>
      <c r="I8" s="64" t="s">
        <v>97</v>
      </c>
      <c r="K8" s="50"/>
    </row>
    <row r="9" spans="1:11" x14ac:dyDescent="0.45">
      <c r="D9" s="14" t="s">
        <v>29</v>
      </c>
      <c r="E9" s="15"/>
      <c r="F9" s="14" t="str">
        <f>+'ใบสรุป-68'!C8</f>
        <v>Office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Marketing</v>
      </c>
      <c r="G10" s="67"/>
      <c r="H10" s="47"/>
      <c r="I10" s="63" t="s">
        <v>96</v>
      </c>
      <c r="K10" s="44"/>
    </row>
    <row r="11" spans="1:11" x14ac:dyDescent="0.45">
      <c r="A11" s="12" t="s">
        <v>1</v>
      </c>
      <c r="B11" s="9" t="str">
        <f>+'ใบสรุป-68'!C4</f>
        <v>Miss Chattawan Sirisanguan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นางสาวฉัตรตะวัน ศิริสงวน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5">
        <f>18000+750</f>
        <v>18750</v>
      </c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18750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6"/>
      <c r="C20" s="7">
        <v>750</v>
      </c>
      <c r="D20" s="146">
        <v>0</v>
      </c>
      <c r="E20" s="146">
        <v>0</v>
      </c>
      <c r="F20" s="46"/>
      <c r="G20" s="46"/>
      <c r="H20" s="46"/>
      <c r="I20" s="35">
        <f>+B20+C20+D20+E20</f>
        <v>750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148">
        <f>I16+'68-Jul'!B24</f>
        <v>18750</v>
      </c>
      <c r="C24" s="35">
        <f>C20+'68-Jul'!C24</f>
        <v>750</v>
      </c>
      <c r="D24" s="36">
        <f>B20+'68-Jul'!D24</f>
        <v>0</v>
      </c>
      <c r="E24" s="54"/>
      <c r="F24" s="61"/>
      <c r="I24" s="65">
        <f>+I16-I20</f>
        <v>18000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6C542-3357-48F8-B19A-914DF924266F}">
  <dimension ref="A1:K25"/>
  <sheetViews>
    <sheetView topLeftCell="A7" zoomScale="110" zoomScaleNormal="110" workbookViewId="0">
      <selection activeCell="C20" sqref="C20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 x14ac:dyDescent="0.5"/>
    <row r="7" spans="1:11" ht="21" thickBot="1" x14ac:dyDescent="0.6">
      <c r="D7" s="71" t="s">
        <v>92</v>
      </c>
      <c r="E7" s="72"/>
      <c r="F7" s="73" t="str">
        <f>+'ใบสรุป-68'!C6</f>
        <v>680801</v>
      </c>
      <c r="G7" s="143" t="str">
        <f>+'ใบสรุป-68'!D6</f>
        <v>1329901167626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4" t="str">
        <f>+'ใบสรุป-68'!C7</f>
        <v>Marketing Department</v>
      </c>
      <c r="G8" s="69"/>
      <c r="H8" s="47"/>
      <c r="I8" s="64" t="s">
        <v>99</v>
      </c>
      <c r="K8" s="50"/>
    </row>
    <row r="9" spans="1:11" x14ac:dyDescent="0.45">
      <c r="D9" s="14" t="s">
        <v>29</v>
      </c>
      <c r="E9" s="15"/>
      <c r="F9" s="14" t="str">
        <f>+'ใบสรุป-68'!C8</f>
        <v>Office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Marketing</v>
      </c>
      <c r="G10" s="67"/>
      <c r="H10" s="47"/>
      <c r="I10" s="63" t="s">
        <v>98</v>
      </c>
      <c r="K10" s="44"/>
    </row>
    <row r="11" spans="1:11" x14ac:dyDescent="0.45">
      <c r="A11" s="12" t="s">
        <v>1</v>
      </c>
      <c r="B11" s="9" t="str">
        <f>+'ใบสรุป-68'!C4</f>
        <v>Miss Chattawan Sirisanguan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นางสาวฉัตรตะวัน ศิริสงวน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5">
        <f>18000+750</f>
        <v>18750</v>
      </c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18750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6"/>
      <c r="C20" s="7">
        <v>750</v>
      </c>
      <c r="D20" s="146">
        <v>0</v>
      </c>
      <c r="E20" s="146">
        <v>0</v>
      </c>
      <c r="F20" s="46"/>
      <c r="G20" s="46"/>
      <c r="H20" s="46"/>
      <c r="I20" s="35">
        <f>+B20+C20+D20+E20</f>
        <v>750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148">
        <f>I16+'68-Aug'!B24</f>
        <v>37500</v>
      </c>
      <c r="C24" s="35">
        <f>C20+'68-Aug'!C24</f>
        <v>1500</v>
      </c>
      <c r="D24" s="36">
        <f>B20+'68-Aug'!D24</f>
        <v>0</v>
      </c>
      <c r="E24" s="54"/>
      <c r="F24" s="61"/>
      <c r="I24" s="65">
        <f>+I16-I20</f>
        <v>18000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A4EFF-85FF-4FFB-83EF-D7D80B26B83F}">
  <dimension ref="A1:K25"/>
  <sheetViews>
    <sheetView topLeftCell="A13" zoomScale="110" zoomScaleNormal="110" workbookViewId="0">
      <selection activeCell="C22" sqref="C22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 x14ac:dyDescent="0.5"/>
    <row r="7" spans="1:11" ht="21" thickBot="1" x14ac:dyDescent="0.6">
      <c r="D7" s="71" t="s">
        <v>92</v>
      </c>
      <c r="E7" s="72"/>
      <c r="F7" s="73" t="str">
        <f>+'ใบสรุป-68'!C6</f>
        <v>680801</v>
      </c>
      <c r="G7" s="143" t="str">
        <f>+'ใบสรุป-68'!D6</f>
        <v>1329901167626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4" t="str">
        <f>+'ใบสรุป-68'!C7</f>
        <v>Marketing Department</v>
      </c>
      <c r="G8" s="69"/>
      <c r="H8" s="47"/>
      <c r="I8" s="64" t="s">
        <v>100</v>
      </c>
      <c r="K8" s="50"/>
    </row>
    <row r="9" spans="1:11" x14ac:dyDescent="0.45">
      <c r="D9" s="14" t="s">
        <v>29</v>
      </c>
      <c r="E9" s="15"/>
      <c r="F9" s="14" t="str">
        <f>+'ใบสรุป-68'!C8</f>
        <v>Office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Marketing</v>
      </c>
      <c r="G10" s="67"/>
      <c r="H10" s="47"/>
      <c r="I10" s="63" t="s">
        <v>101</v>
      </c>
      <c r="K10" s="44"/>
    </row>
    <row r="11" spans="1:11" x14ac:dyDescent="0.45">
      <c r="A11" s="12" t="s">
        <v>1</v>
      </c>
      <c r="B11" s="9" t="str">
        <f>+'ใบสรุป-68'!C4</f>
        <v>Miss Chattawan Sirisanguan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นางสาวฉัตรตะวัน ศิริสงวน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5">
        <f>18000+750</f>
        <v>18750</v>
      </c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18750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6"/>
      <c r="C20" s="7">
        <v>750</v>
      </c>
      <c r="D20" s="146">
        <v>0</v>
      </c>
      <c r="E20" s="146">
        <v>0</v>
      </c>
      <c r="F20" s="46"/>
      <c r="G20" s="46"/>
      <c r="H20" s="46"/>
      <c r="I20" s="35">
        <f>+B20+C20+D20+E20</f>
        <v>750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148">
        <f>I16+'68-Sep'!B24</f>
        <v>56250</v>
      </c>
      <c r="C24" s="35">
        <f>C20+'68-Sep'!C24</f>
        <v>2250</v>
      </c>
      <c r="D24" s="36">
        <f>B20+'68-Sep'!D24</f>
        <v>0</v>
      </c>
      <c r="E24" s="54"/>
      <c r="F24" s="61"/>
      <c r="I24" s="65">
        <f>+I16-I20</f>
        <v>18000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619E8-60F0-4F1C-9FD8-B4BEE0B998F7}">
  <dimension ref="A1:K25"/>
  <sheetViews>
    <sheetView topLeftCell="A10" zoomScale="110" zoomScaleNormal="110" workbookViewId="0">
      <selection activeCell="D16" sqref="D16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 x14ac:dyDescent="0.5"/>
    <row r="7" spans="1:11" ht="21" thickBot="1" x14ac:dyDescent="0.6">
      <c r="D7" s="71" t="s">
        <v>92</v>
      </c>
      <c r="E7" s="72"/>
      <c r="F7" s="73" t="str">
        <f>+'ใบสรุป-68'!C6</f>
        <v>680801</v>
      </c>
      <c r="G7" s="143" t="str">
        <f>+'ใบสรุป-68'!D6</f>
        <v>1329901167626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4" t="str">
        <f>+'ใบสรุป-68'!C7</f>
        <v>Marketing Department</v>
      </c>
      <c r="G8" s="69"/>
      <c r="H8" s="47"/>
      <c r="I8" s="64" t="s">
        <v>102</v>
      </c>
      <c r="K8" s="50"/>
    </row>
    <row r="9" spans="1:11" x14ac:dyDescent="0.45">
      <c r="D9" s="14" t="s">
        <v>29</v>
      </c>
      <c r="E9" s="15"/>
      <c r="F9" s="14" t="str">
        <f>+'ใบสรุป-68'!C8</f>
        <v>Office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Marketing</v>
      </c>
      <c r="G10" s="67"/>
      <c r="H10" s="47"/>
      <c r="I10" s="63" t="s">
        <v>103</v>
      </c>
      <c r="K10" s="44"/>
    </row>
    <row r="11" spans="1:11" x14ac:dyDescent="0.45">
      <c r="A11" s="12" t="s">
        <v>1</v>
      </c>
      <c r="B11" s="9" t="str">
        <f>+'ใบสรุป-68'!C4</f>
        <v>Miss Chattawan Sirisanguan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นางสาวฉัตรตะวัน ศิริสงวน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5">
        <f>18000+750</f>
        <v>18750</v>
      </c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18750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6"/>
      <c r="C20" s="7">
        <v>750</v>
      </c>
      <c r="D20" s="146">
        <v>0</v>
      </c>
      <c r="E20" s="146">
        <v>0</v>
      </c>
      <c r="F20" s="46"/>
      <c r="G20" s="46"/>
      <c r="H20" s="46"/>
      <c r="I20" s="35">
        <f>+B20+C20+D20+E20</f>
        <v>750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148">
        <f>I16+'68-Oct'!B24</f>
        <v>75000</v>
      </c>
      <c r="C24" s="35">
        <f>C20+'68-Oct'!C24</f>
        <v>3000</v>
      </c>
      <c r="D24" s="36">
        <f>B20+'68-Oct'!D24</f>
        <v>0</v>
      </c>
      <c r="E24" s="54"/>
      <c r="F24" s="61"/>
      <c r="I24" s="65">
        <f>+I16-I20</f>
        <v>18000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BB4A9-A01A-42C2-B469-53DDE847E330}">
  <dimension ref="A1:K25"/>
  <sheetViews>
    <sheetView tabSelected="1" topLeftCell="A13" zoomScale="110" zoomScaleNormal="110" workbookViewId="0">
      <selection activeCell="C16" sqref="C16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 x14ac:dyDescent="0.5"/>
    <row r="7" spans="1:11" ht="21" thickBot="1" x14ac:dyDescent="0.6">
      <c r="D7" s="71" t="s">
        <v>92</v>
      </c>
      <c r="E7" s="72"/>
      <c r="F7" s="73" t="str">
        <f>+'ใบสรุป-68'!C6</f>
        <v>680801</v>
      </c>
      <c r="G7" s="143" t="str">
        <f>+'ใบสรุป-68'!D6</f>
        <v>1329901167626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4" t="str">
        <f>+'ใบสรุป-68'!C7</f>
        <v>Marketing Department</v>
      </c>
      <c r="G8" s="69"/>
      <c r="H8" s="47"/>
      <c r="I8" s="64" t="s">
        <v>115</v>
      </c>
      <c r="K8" s="50"/>
    </row>
    <row r="9" spans="1:11" x14ac:dyDescent="0.45">
      <c r="D9" s="14" t="s">
        <v>29</v>
      </c>
      <c r="E9" s="15"/>
      <c r="F9" s="14" t="str">
        <f>+'ใบสรุป-68'!C8</f>
        <v>Office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Marketing</v>
      </c>
      <c r="G10" s="67"/>
      <c r="H10" s="47"/>
      <c r="I10" s="63" t="s">
        <v>104</v>
      </c>
      <c r="K10" s="44"/>
    </row>
    <row r="11" spans="1:11" x14ac:dyDescent="0.45">
      <c r="A11" s="12" t="s">
        <v>1</v>
      </c>
      <c r="B11" s="9" t="str">
        <f>+'ใบสรุป-68'!C4</f>
        <v>Miss Chattawan Sirisanguan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นางสาวฉัตรตะวัน ศิริสงวน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5">
        <f>18000+750</f>
        <v>18750</v>
      </c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18750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6"/>
      <c r="C20" s="7">
        <v>750</v>
      </c>
      <c r="D20" s="146">
        <v>0</v>
      </c>
      <c r="E20" s="146">
        <v>0</v>
      </c>
      <c r="F20" s="46"/>
      <c r="G20" s="46"/>
      <c r="H20" s="46"/>
      <c r="I20" s="35">
        <f>+B20+C20+D20+E20</f>
        <v>750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148">
        <f>I16+'68-Nov'!B24</f>
        <v>93750</v>
      </c>
      <c r="C24" s="35">
        <f>C20+'68-Nov'!C24</f>
        <v>3750</v>
      </c>
      <c r="D24" s="36">
        <f>B20+'68-Nov'!D24</f>
        <v>0</v>
      </c>
      <c r="E24" s="54"/>
      <c r="F24" s="61"/>
      <c r="I24" s="65">
        <f>I16-I20</f>
        <v>18000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C2BB6-D3A3-41F4-B78D-6489EC72D90F}">
  <dimension ref="A1:N14"/>
  <sheetViews>
    <sheetView workbookViewId="0">
      <selection activeCell="A14" sqref="A14:H14"/>
    </sheetView>
  </sheetViews>
  <sheetFormatPr defaultColWidth="9" defaultRowHeight="17.399999999999999" x14ac:dyDescent="0.45"/>
  <cols>
    <col min="1" max="1" width="9.3984375" style="1" customWidth="1"/>
    <col min="2" max="2" width="10.59765625" style="1" customWidth="1"/>
    <col min="3" max="4" width="12.3984375" style="1" customWidth="1"/>
    <col min="5" max="5" width="10.59765625" style="1" customWidth="1"/>
    <col min="6" max="6" width="7.8984375" style="1" customWidth="1"/>
    <col min="7" max="7" width="6.8984375" style="1" customWidth="1"/>
    <col min="8" max="8" width="6.3984375" style="1" customWidth="1"/>
    <col min="9" max="9" width="6.8984375" style="1" customWidth="1"/>
    <col min="10" max="10" width="11.59765625" style="1" customWidth="1"/>
    <col min="11" max="11" width="8.3984375" style="1" customWidth="1"/>
    <col min="12" max="12" width="10.09765625" style="1" customWidth="1"/>
    <col min="13" max="13" width="0.69921875" style="1" customWidth="1"/>
    <col min="14" max="14" width="15.09765625" style="1" customWidth="1"/>
    <col min="15" max="15" width="10.3984375" style="1" customWidth="1"/>
    <col min="16" max="16384" width="9" style="1"/>
  </cols>
  <sheetData>
    <row r="1" spans="1:14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40"/>
      <c r="J1" s="40"/>
      <c r="K1" s="40"/>
      <c r="L1" s="40"/>
      <c r="M1" s="40"/>
      <c r="N1" s="40"/>
    </row>
    <row r="2" spans="1:14" x14ac:dyDescent="0.45">
      <c r="A2" s="152" t="s">
        <v>41</v>
      </c>
      <c r="B2" s="152"/>
      <c r="C2" s="152"/>
      <c r="D2" s="152"/>
      <c r="E2" s="152"/>
      <c r="F2" s="152"/>
      <c r="G2" s="152"/>
      <c r="H2" s="152"/>
      <c r="I2" s="40"/>
      <c r="J2" s="40"/>
      <c r="K2" s="40"/>
      <c r="L2" s="40"/>
      <c r="M2" s="40"/>
      <c r="N2" s="40"/>
    </row>
    <row r="3" spans="1:14" x14ac:dyDescent="0.45">
      <c r="A3" s="154" t="s">
        <v>35</v>
      </c>
      <c r="B3" s="154"/>
      <c r="C3" s="154"/>
      <c r="D3" s="154"/>
      <c r="E3" s="154"/>
      <c r="F3" s="154"/>
      <c r="G3" s="154"/>
      <c r="H3" s="154"/>
      <c r="I3" s="40"/>
      <c r="J3" s="40"/>
      <c r="K3" s="40"/>
      <c r="L3" s="40"/>
      <c r="M3" s="40"/>
      <c r="N3" s="40"/>
    </row>
    <row r="4" spans="1:14" ht="9" customHeight="1" x14ac:dyDescent="0.45"/>
    <row r="14" spans="1:14" x14ac:dyDescent="0.45">
      <c r="A14" s="152" t="s">
        <v>40</v>
      </c>
      <c r="B14" s="152"/>
      <c r="C14" s="152"/>
      <c r="D14" s="152"/>
      <c r="E14" s="152"/>
      <c r="F14" s="152"/>
      <c r="G14" s="152"/>
      <c r="H14" s="152"/>
      <c r="I14" s="40"/>
      <c r="J14" s="40"/>
      <c r="K14" s="40"/>
      <c r="L14" s="40"/>
      <c r="M14" s="40"/>
      <c r="N14" s="40"/>
    </row>
  </sheetData>
  <mergeCells count="4">
    <mergeCell ref="A1:H1"/>
    <mergeCell ref="A2:H2"/>
    <mergeCell ref="A3:H3"/>
    <mergeCell ref="A14:H14"/>
  </mergeCells>
  <pageMargins left="0.7" right="0.7" top="0.75" bottom="0.75" header="0.3" footer="0.3"/>
  <pageSetup paperSize="9" orientation="portrait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DAE98-8D86-4A4D-ADE9-55F570C46232}">
  <dimension ref="A1:O29"/>
  <sheetViews>
    <sheetView topLeftCell="A12" workbookViewId="0">
      <selection activeCell="J25" sqref="J25"/>
    </sheetView>
  </sheetViews>
  <sheetFormatPr defaultColWidth="9" defaultRowHeight="17.399999999999999" x14ac:dyDescent="0.25"/>
  <cols>
    <col min="1" max="1" width="7.3984375" style="74" customWidth="1"/>
    <col min="2" max="2" width="13" style="74" customWidth="1"/>
    <col min="3" max="3" width="8.8984375" style="74" customWidth="1"/>
    <col min="4" max="4" width="9.09765625" style="74" customWidth="1"/>
    <col min="5" max="5" width="10.3984375" style="74" customWidth="1"/>
    <col min="6" max="6" width="9.3984375" style="74" customWidth="1"/>
    <col min="7" max="7" width="9.09765625" style="74" customWidth="1"/>
    <col min="8" max="8" width="9.3984375" style="74" customWidth="1"/>
    <col min="9" max="9" width="4.8984375" style="74" customWidth="1"/>
    <col min="10" max="10" width="8" style="74" customWidth="1"/>
    <col min="11" max="11" width="7.09765625" style="74" customWidth="1"/>
    <col min="12" max="12" width="9.3984375" style="74" customWidth="1"/>
    <col min="13" max="13" width="10" style="74" customWidth="1"/>
    <col min="14" max="14" width="6.3984375" style="74" customWidth="1"/>
    <col min="15" max="15" width="13.69921875" style="74" customWidth="1"/>
    <col min="16" max="16384" width="9" style="74"/>
  </cols>
  <sheetData>
    <row r="1" spans="1:15" x14ac:dyDescent="0.25">
      <c r="A1" s="155" t="s">
        <v>95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</row>
    <row r="2" spans="1:15" x14ac:dyDescent="0.25">
      <c r="A2" s="155" t="s">
        <v>93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</row>
    <row r="3" spans="1:15" ht="18" thickBot="1" x14ac:dyDescent="0.3">
      <c r="A3" s="155" t="s">
        <v>69</v>
      </c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</row>
    <row r="4" spans="1:15" ht="20.399999999999999" x14ac:dyDescent="0.25">
      <c r="A4" s="75" t="s">
        <v>1</v>
      </c>
      <c r="B4" s="76"/>
      <c r="C4" s="139" t="s">
        <v>117</v>
      </c>
      <c r="D4" s="140"/>
      <c r="E4" s="77"/>
      <c r="F4" s="78"/>
      <c r="G4" s="78"/>
      <c r="H4" s="78"/>
      <c r="I4" s="78"/>
      <c r="J4" s="78"/>
      <c r="K4" s="78"/>
      <c r="L4" s="78"/>
      <c r="M4" s="78"/>
      <c r="N4" s="78"/>
      <c r="O4" s="78"/>
    </row>
    <row r="5" spans="1:15" ht="21" thickBot="1" x14ac:dyDescent="0.3">
      <c r="A5" s="134" t="s">
        <v>2</v>
      </c>
      <c r="B5" s="135"/>
      <c r="C5" s="141" t="s">
        <v>118</v>
      </c>
      <c r="D5" s="142"/>
      <c r="E5" s="133"/>
      <c r="F5" s="78"/>
      <c r="G5" s="78"/>
      <c r="H5" s="78"/>
      <c r="I5" s="78"/>
      <c r="J5" s="78"/>
      <c r="K5" s="78"/>
      <c r="L5" s="78"/>
      <c r="M5" s="78"/>
      <c r="N5" s="78"/>
      <c r="O5" s="78"/>
    </row>
    <row r="6" spans="1:15" ht="21" thickBot="1" x14ac:dyDescent="0.3">
      <c r="A6" s="82" t="s">
        <v>92</v>
      </c>
      <c r="B6" s="136"/>
      <c r="C6" s="150" t="s">
        <v>119</v>
      </c>
      <c r="D6" s="150" t="s">
        <v>120</v>
      </c>
      <c r="E6" s="132"/>
      <c r="F6" s="79"/>
      <c r="G6" s="79"/>
      <c r="H6" s="79"/>
      <c r="I6" s="80"/>
      <c r="J6" s="80"/>
      <c r="L6" s="81"/>
    </row>
    <row r="7" spans="1:15" ht="21" thickBot="1" x14ac:dyDescent="0.3">
      <c r="A7" s="137" t="s">
        <v>24</v>
      </c>
      <c r="B7" s="138"/>
      <c r="C7" s="131" t="s">
        <v>121</v>
      </c>
      <c r="D7" s="129"/>
      <c r="E7" s="130"/>
      <c r="F7" s="79"/>
      <c r="G7" s="79"/>
      <c r="H7" s="79"/>
      <c r="I7" s="79"/>
      <c r="J7" s="79"/>
      <c r="K7" s="79"/>
      <c r="L7" s="84"/>
    </row>
    <row r="8" spans="1:15" ht="21" thickBot="1" x14ac:dyDescent="0.3">
      <c r="A8" s="82" t="s">
        <v>29</v>
      </c>
      <c r="B8" s="83"/>
      <c r="C8" s="123" t="s">
        <v>116</v>
      </c>
      <c r="D8" s="124"/>
      <c r="E8" s="125"/>
      <c r="F8" s="79"/>
      <c r="G8" s="79"/>
      <c r="H8" s="79"/>
      <c r="I8" s="79"/>
      <c r="J8" s="79"/>
      <c r="K8" s="79"/>
      <c r="L8" s="84"/>
    </row>
    <row r="9" spans="1:15" ht="21" thickBot="1" x14ac:dyDescent="0.3">
      <c r="A9" s="137" t="s">
        <v>32</v>
      </c>
      <c r="B9" s="138"/>
      <c r="C9" s="128" t="s">
        <v>122</v>
      </c>
      <c r="D9" s="129"/>
      <c r="E9" s="130"/>
      <c r="F9" s="79"/>
      <c r="G9" s="79"/>
      <c r="H9" s="79"/>
      <c r="I9" s="79"/>
      <c r="J9" s="79"/>
      <c r="K9" s="79"/>
      <c r="L9" s="84"/>
      <c r="M9" s="85"/>
    </row>
    <row r="10" spans="1:15" ht="21" thickBot="1" x14ac:dyDescent="0.3">
      <c r="A10" s="86" t="s">
        <v>105</v>
      </c>
      <c r="B10" s="87"/>
      <c r="C10" s="149" t="s">
        <v>84</v>
      </c>
      <c r="D10" s="126"/>
      <c r="E10" s="127"/>
      <c r="F10" s="79"/>
      <c r="G10" s="79"/>
      <c r="H10" s="79"/>
      <c r="I10" s="79"/>
      <c r="J10" s="79"/>
      <c r="K10" s="79"/>
      <c r="L10" s="84"/>
      <c r="M10" s="85"/>
    </row>
    <row r="11" spans="1:15" ht="18" thickBot="1" x14ac:dyDescent="0.3"/>
    <row r="12" spans="1:15" ht="18" thickTop="1" x14ac:dyDescent="0.25">
      <c r="A12" s="88" t="s">
        <v>42</v>
      </c>
      <c r="B12" s="89" t="s">
        <v>4</v>
      </c>
      <c r="C12" s="90" t="s">
        <v>5</v>
      </c>
      <c r="D12" s="90" t="s">
        <v>85</v>
      </c>
      <c r="E12" s="90" t="s">
        <v>43</v>
      </c>
      <c r="F12" s="90" t="s">
        <v>6</v>
      </c>
      <c r="G12" s="91" t="s">
        <v>6</v>
      </c>
      <c r="H12" s="92" t="s">
        <v>44</v>
      </c>
      <c r="I12" s="92" t="s">
        <v>45</v>
      </c>
      <c r="J12" s="92" t="s">
        <v>46</v>
      </c>
      <c r="K12" s="92" t="s">
        <v>47</v>
      </c>
      <c r="L12" s="92" t="s">
        <v>48</v>
      </c>
      <c r="M12" s="156" t="s">
        <v>94</v>
      </c>
      <c r="N12" s="157"/>
      <c r="O12" s="93" t="s">
        <v>49</v>
      </c>
    </row>
    <row r="13" spans="1:15" ht="18" thickBot="1" x14ac:dyDescent="0.3">
      <c r="A13" s="94"/>
      <c r="B13" s="95" t="s">
        <v>50</v>
      </c>
      <c r="C13" s="96" t="s">
        <v>8</v>
      </c>
      <c r="D13" s="97"/>
      <c r="E13" s="96" t="s">
        <v>36</v>
      </c>
      <c r="F13" s="96" t="s">
        <v>9</v>
      </c>
      <c r="G13" s="98" t="s">
        <v>50</v>
      </c>
      <c r="H13" s="99" t="s">
        <v>50</v>
      </c>
      <c r="I13" s="100" t="s">
        <v>51</v>
      </c>
      <c r="J13" s="100" t="s">
        <v>52</v>
      </c>
      <c r="K13" s="101" t="s">
        <v>50</v>
      </c>
      <c r="L13" s="100" t="s">
        <v>50</v>
      </c>
      <c r="M13" s="102" t="s">
        <v>54</v>
      </c>
      <c r="N13" s="103" t="s">
        <v>53</v>
      </c>
      <c r="O13" s="102"/>
    </row>
    <row r="14" spans="1:15" ht="24" thickTop="1" x14ac:dyDescent="0.25">
      <c r="A14" s="104" t="s">
        <v>70</v>
      </c>
      <c r="B14" s="105"/>
      <c r="C14" s="105"/>
      <c r="D14" s="105"/>
      <c r="E14" s="105"/>
      <c r="F14" s="105"/>
      <c r="G14" s="105"/>
      <c r="H14" s="105"/>
      <c r="I14" s="106"/>
      <c r="J14" s="106"/>
      <c r="K14" s="106"/>
      <c r="L14" s="105"/>
      <c r="M14" s="107"/>
      <c r="N14" s="108"/>
      <c r="O14" s="109"/>
    </row>
    <row r="15" spans="1:15" x14ac:dyDescent="0.25">
      <c r="A15" s="41" t="s">
        <v>55</v>
      </c>
      <c r="B15" s="110">
        <f>'68-jan'!B16</f>
        <v>0</v>
      </c>
      <c r="C15" s="110">
        <f>'68-jan'!C16</f>
        <v>0</v>
      </c>
      <c r="D15" s="110">
        <f>'68-jan'!D16</f>
        <v>0</v>
      </c>
      <c r="E15" s="110">
        <f>'68-jan'!E16</f>
        <v>0</v>
      </c>
      <c r="F15" s="110">
        <f>'68-jan'!F16</f>
        <v>0</v>
      </c>
      <c r="G15" s="110">
        <f>'68-jan'!G16</f>
        <v>0</v>
      </c>
      <c r="H15" s="107">
        <f t="shared" ref="H15:H26" si="0">SUM(B15:G15)</f>
        <v>0</v>
      </c>
      <c r="I15" s="41" t="s">
        <v>62</v>
      </c>
      <c r="J15" s="111">
        <f t="shared" ref="J15:J25" si="1">(15000)*I15</f>
        <v>750</v>
      </c>
      <c r="K15" s="111">
        <f>B15*3%</f>
        <v>0</v>
      </c>
      <c r="L15" s="111">
        <f t="shared" ref="L15:L25" si="2">H15-J15-K15</f>
        <v>-750</v>
      </c>
      <c r="M15" s="107">
        <f>L15</f>
        <v>-750</v>
      </c>
      <c r="N15" s="41" t="s">
        <v>71</v>
      </c>
      <c r="O15" s="107"/>
    </row>
    <row r="16" spans="1:15" x14ac:dyDescent="0.25">
      <c r="A16" s="112" t="s">
        <v>56</v>
      </c>
      <c r="B16" s="110">
        <f>'68-Feb'!B16</f>
        <v>0</v>
      </c>
      <c r="C16" s="110">
        <f>'68-Feb'!C16</f>
        <v>0</v>
      </c>
      <c r="D16" s="110">
        <f>'68-Feb'!D16</f>
        <v>0</v>
      </c>
      <c r="E16" s="110">
        <f>'68-Feb'!E16</f>
        <v>0</v>
      </c>
      <c r="F16" s="110">
        <f>'68-Feb'!F16</f>
        <v>0</v>
      </c>
      <c r="G16" s="110">
        <f>'68-Feb'!G16</f>
        <v>0</v>
      </c>
      <c r="H16" s="107">
        <f>SUM(B16:G16)</f>
        <v>0</v>
      </c>
      <c r="I16" s="41" t="s">
        <v>62</v>
      </c>
      <c r="J16" s="111">
        <f t="shared" si="1"/>
        <v>750</v>
      </c>
      <c r="K16" s="111">
        <f t="shared" ref="K16:K25" si="3">B16*3%</f>
        <v>0</v>
      </c>
      <c r="L16" s="111">
        <f t="shared" si="2"/>
        <v>-750</v>
      </c>
      <c r="M16" s="107">
        <f t="shared" ref="M16:M26" si="4">L16</f>
        <v>-750</v>
      </c>
      <c r="N16" s="41" t="s">
        <v>72</v>
      </c>
      <c r="O16" s="107"/>
    </row>
    <row r="17" spans="1:15" x14ac:dyDescent="0.25">
      <c r="A17" s="112" t="s">
        <v>57</v>
      </c>
      <c r="B17" s="110">
        <f>'68-Mar'!B16</f>
        <v>0</v>
      </c>
      <c r="C17" s="110">
        <f>'68-Mar'!C16</f>
        <v>0</v>
      </c>
      <c r="D17" s="110">
        <f>'68-Mar'!D16</f>
        <v>0</v>
      </c>
      <c r="E17" s="110">
        <f>'68-Mar'!E16</f>
        <v>0</v>
      </c>
      <c r="F17" s="110">
        <f>'68-Mar'!F16</f>
        <v>0</v>
      </c>
      <c r="G17" s="110">
        <f>'68-Mar'!G16</f>
        <v>0</v>
      </c>
      <c r="H17" s="107">
        <f t="shared" si="0"/>
        <v>0</v>
      </c>
      <c r="I17" s="41" t="s">
        <v>62</v>
      </c>
      <c r="J17" s="111">
        <f t="shared" si="1"/>
        <v>750</v>
      </c>
      <c r="K17" s="111">
        <f t="shared" si="3"/>
        <v>0</v>
      </c>
      <c r="L17" s="111">
        <f t="shared" si="2"/>
        <v>-750</v>
      </c>
      <c r="M17" s="107">
        <f>L17</f>
        <v>-750</v>
      </c>
      <c r="N17" s="41" t="s">
        <v>73</v>
      </c>
      <c r="O17" s="107"/>
    </row>
    <row r="18" spans="1:15" x14ac:dyDescent="0.25">
      <c r="A18" s="112" t="s">
        <v>58</v>
      </c>
      <c r="B18" s="110">
        <f>'68-Apr'!B16</f>
        <v>0</v>
      </c>
      <c r="C18" s="110">
        <f>'68-Apr'!C16</f>
        <v>0</v>
      </c>
      <c r="D18" s="110">
        <f>'68-Apr'!D16</f>
        <v>0</v>
      </c>
      <c r="E18" s="110">
        <f>'68-Apr'!E16</f>
        <v>0</v>
      </c>
      <c r="F18" s="110">
        <f>'68-Apr'!F16</f>
        <v>0</v>
      </c>
      <c r="G18" s="110">
        <f>'68-Apr'!G16</f>
        <v>0</v>
      </c>
      <c r="H18" s="107">
        <f t="shared" si="0"/>
        <v>0</v>
      </c>
      <c r="I18" s="41" t="s">
        <v>62</v>
      </c>
      <c r="J18" s="111">
        <f t="shared" si="1"/>
        <v>750</v>
      </c>
      <c r="K18" s="111">
        <f t="shared" si="3"/>
        <v>0</v>
      </c>
      <c r="L18" s="111">
        <f t="shared" si="2"/>
        <v>-750</v>
      </c>
      <c r="M18" s="107">
        <f t="shared" si="4"/>
        <v>-750</v>
      </c>
      <c r="N18" s="41" t="s">
        <v>106</v>
      </c>
      <c r="O18" s="107"/>
    </row>
    <row r="19" spans="1:15" x14ac:dyDescent="0.25">
      <c r="A19" s="112" t="s">
        <v>59</v>
      </c>
      <c r="B19" s="110">
        <f>'68-May'!B16</f>
        <v>0</v>
      </c>
      <c r="C19" s="110">
        <f>'68-May'!C16</f>
        <v>0</v>
      </c>
      <c r="D19" s="110">
        <f>'68-May'!D16</f>
        <v>0</v>
      </c>
      <c r="E19" s="110">
        <f>'68-May'!E16</f>
        <v>0</v>
      </c>
      <c r="F19" s="110">
        <f>'68-May'!F16</f>
        <v>0</v>
      </c>
      <c r="G19" s="110">
        <f>'68-May'!G16</f>
        <v>0</v>
      </c>
      <c r="H19" s="107">
        <f t="shared" si="0"/>
        <v>0</v>
      </c>
      <c r="I19" s="41" t="s">
        <v>62</v>
      </c>
      <c r="J19" s="111">
        <f t="shared" si="1"/>
        <v>750</v>
      </c>
      <c r="K19" s="111">
        <f t="shared" si="3"/>
        <v>0</v>
      </c>
      <c r="L19" s="111">
        <f t="shared" si="2"/>
        <v>-750</v>
      </c>
      <c r="M19" s="107">
        <f t="shared" si="4"/>
        <v>-750</v>
      </c>
      <c r="N19" s="41" t="s">
        <v>107</v>
      </c>
      <c r="O19" s="107"/>
    </row>
    <row r="20" spans="1:15" x14ac:dyDescent="0.25">
      <c r="A20" s="112" t="s">
        <v>60</v>
      </c>
      <c r="B20" s="110">
        <f>'68-Jun'!B16</f>
        <v>0</v>
      </c>
      <c r="C20" s="110">
        <f>'68-Jun'!C16</f>
        <v>0</v>
      </c>
      <c r="D20" s="110">
        <f>'68-Jun'!D16</f>
        <v>0</v>
      </c>
      <c r="E20" s="110">
        <f>'68-Jun'!E16</f>
        <v>0</v>
      </c>
      <c r="F20" s="110">
        <f>'68-Jun'!F16</f>
        <v>0</v>
      </c>
      <c r="G20" s="110">
        <f>'68-Jun'!G16</f>
        <v>0</v>
      </c>
      <c r="H20" s="107">
        <f t="shared" si="0"/>
        <v>0</v>
      </c>
      <c r="I20" s="41" t="s">
        <v>62</v>
      </c>
      <c r="J20" s="111">
        <f t="shared" si="1"/>
        <v>750</v>
      </c>
      <c r="K20" s="111">
        <f t="shared" si="3"/>
        <v>0</v>
      </c>
      <c r="L20" s="111">
        <f t="shared" si="2"/>
        <v>-750</v>
      </c>
      <c r="M20" s="107">
        <f t="shared" si="4"/>
        <v>-750</v>
      </c>
      <c r="N20" s="41" t="s">
        <v>108</v>
      </c>
      <c r="O20" s="107"/>
    </row>
    <row r="21" spans="1:15" x14ac:dyDescent="0.25">
      <c r="A21" s="112" t="s">
        <v>61</v>
      </c>
      <c r="B21" s="110">
        <f>'68-Jul'!B16</f>
        <v>0</v>
      </c>
      <c r="C21" s="110">
        <f>'68-Jul'!C16</f>
        <v>0</v>
      </c>
      <c r="D21" s="110">
        <f>'68-Jul'!D16</f>
        <v>0</v>
      </c>
      <c r="E21" s="110">
        <f>'68-Jul'!E16</f>
        <v>0</v>
      </c>
      <c r="F21" s="110">
        <f>'68-Jul'!F16</f>
        <v>0</v>
      </c>
      <c r="G21" s="110">
        <f>'68-Jul'!G16</f>
        <v>0</v>
      </c>
      <c r="H21" s="107">
        <f t="shared" si="0"/>
        <v>0</v>
      </c>
      <c r="I21" s="41" t="s">
        <v>62</v>
      </c>
      <c r="J21" s="111">
        <f t="shared" si="1"/>
        <v>750</v>
      </c>
      <c r="K21" s="111">
        <f t="shared" si="3"/>
        <v>0</v>
      </c>
      <c r="L21" s="111">
        <f t="shared" si="2"/>
        <v>-750</v>
      </c>
      <c r="M21" s="107">
        <f t="shared" si="4"/>
        <v>-750</v>
      </c>
      <c r="N21" s="41" t="s">
        <v>109</v>
      </c>
      <c r="O21" s="107"/>
    </row>
    <row r="22" spans="1:15" x14ac:dyDescent="0.25">
      <c r="A22" s="112" t="s">
        <v>63</v>
      </c>
      <c r="B22" s="110">
        <f>'68-Aug'!B16</f>
        <v>18750</v>
      </c>
      <c r="C22" s="110">
        <f>'68-Aug'!C16</f>
        <v>0</v>
      </c>
      <c r="D22" s="110">
        <f>'68-Aug'!D16</f>
        <v>0</v>
      </c>
      <c r="E22" s="110">
        <f>'68-Aug'!E16</f>
        <v>0</v>
      </c>
      <c r="F22" s="110">
        <f>'68-Aug'!F16</f>
        <v>0</v>
      </c>
      <c r="G22" s="110">
        <f>'68-Aug'!G16</f>
        <v>0</v>
      </c>
      <c r="H22" s="107">
        <f t="shared" si="0"/>
        <v>18750</v>
      </c>
      <c r="I22" s="41" t="s">
        <v>62</v>
      </c>
      <c r="J22" s="111">
        <f t="shared" si="1"/>
        <v>750</v>
      </c>
      <c r="K22" s="111">
        <f t="shared" si="3"/>
        <v>562.5</v>
      </c>
      <c r="L22" s="111">
        <f t="shared" si="2"/>
        <v>17437.5</v>
      </c>
      <c r="M22" s="107">
        <f t="shared" si="4"/>
        <v>17437.5</v>
      </c>
      <c r="N22" s="41" t="s">
        <v>110</v>
      </c>
      <c r="O22" s="107"/>
    </row>
    <row r="23" spans="1:15" x14ac:dyDescent="0.25">
      <c r="A23" s="112" t="s">
        <v>64</v>
      </c>
      <c r="B23" s="110">
        <f>'68-Sep'!B16</f>
        <v>18750</v>
      </c>
      <c r="C23" s="110">
        <f>'68-Sep'!C16</f>
        <v>0</v>
      </c>
      <c r="D23" s="110">
        <f>'68-Sep'!D16</f>
        <v>0</v>
      </c>
      <c r="E23" s="110">
        <f>'68-Sep'!E16</f>
        <v>0</v>
      </c>
      <c r="F23" s="110">
        <f>'68-Sep'!F16</f>
        <v>0</v>
      </c>
      <c r="G23" s="110">
        <f>'68-Sep'!G16</f>
        <v>0</v>
      </c>
      <c r="H23" s="107">
        <f t="shared" si="0"/>
        <v>18750</v>
      </c>
      <c r="I23" s="41" t="s">
        <v>62</v>
      </c>
      <c r="J23" s="111">
        <f t="shared" si="1"/>
        <v>750</v>
      </c>
      <c r="K23" s="111">
        <f t="shared" si="3"/>
        <v>562.5</v>
      </c>
      <c r="L23" s="111">
        <f t="shared" si="2"/>
        <v>17437.5</v>
      </c>
      <c r="M23" s="107">
        <f t="shared" si="4"/>
        <v>17437.5</v>
      </c>
      <c r="N23" s="41" t="s">
        <v>111</v>
      </c>
      <c r="O23" s="107"/>
    </row>
    <row r="24" spans="1:15" x14ac:dyDescent="0.25">
      <c r="A24" s="112" t="s">
        <v>65</v>
      </c>
      <c r="B24" s="110">
        <f>'68-Oct'!B16</f>
        <v>18750</v>
      </c>
      <c r="C24" s="110">
        <f>'68-Oct'!C16</f>
        <v>0</v>
      </c>
      <c r="D24" s="110">
        <f>'68-Oct'!D16</f>
        <v>0</v>
      </c>
      <c r="E24" s="110">
        <f>'68-Oct'!E16</f>
        <v>0</v>
      </c>
      <c r="F24" s="110">
        <f>'68-Oct'!F16</f>
        <v>0</v>
      </c>
      <c r="G24" s="110">
        <f>'68-Oct'!G16</f>
        <v>0</v>
      </c>
      <c r="H24" s="107">
        <f t="shared" si="0"/>
        <v>18750</v>
      </c>
      <c r="I24" s="41" t="s">
        <v>62</v>
      </c>
      <c r="J24" s="111">
        <f t="shared" si="1"/>
        <v>750</v>
      </c>
      <c r="K24" s="111">
        <f t="shared" si="3"/>
        <v>562.5</v>
      </c>
      <c r="L24" s="111">
        <f>H24-J24-K24</f>
        <v>17437.5</v>
      </c>
      <c r="M24" s="107">
        <f t="shared" si="4"/>
        <v>17437.5</v>
      </c>
      <c r="N24" s="41" t="s">
        <v>112</v>
      </c>
      <c r="O24" s="107"/>
    </row>
    <row r="25" spans="1:15" x14ac:dyDescent="0.25">
      <c r="A25" s="112" t="s">
        <v>66</v>
      </c>
      <c r="B25" s="110">
        <f>'68-Nov'!B16</f>
        <v>18750</v>
      </c>
      <c r="C25" s="110">
        <f>'68-Nov'!C16</f>
        <v>0</v>
      </c>
      <c r="D25" s="110">
        <f>'68-Nov'!D16</f>
        <v>0</v>
      </c>
      <c r="E25" s="110">
        <f>'68-Nov'!E16</f>
        <v>0</v>
      </c>
      <c r="F25" s="110">
        <f>'68-Nov'!F16</f>
        <v>0</v>
      </c>
      <c r="G25" s="110">
        <f>'68-Nov'!G16</f>
        <v>0</v>
      </c>
      <c r="H25" s="107">
        <f t="shared" si="0"/>
        <v>18750</v>
      </c>
      <c r="I25" s="41" t="s">
        <v>62</v>
      </c>
      <c r="J25" s="111">
        <f t="shared" si="1"/>
        <v>750</v>
      </c>
      <c r="K25" s="111">
        <f t="shared" si="3"/>
        <v>562.5</v>
      </c>
      <c r="L25" s="111">
        <f t="shared" si="2"/>
        <v>17437.5</v>
      </c>
      <c r="M25" s="107">
        <f t="shared" si="4"/>
        <v>17437.5</v>
      </c>
      <c r="N25" s="41" t="s">
        <v>113</v>
      </c>
      <c r="O25" s="107"/>
    </row>
    <row r="26" spans="1:15" x14ac:dyDescent="0.25">
      <c r="A26" s="112" t="s">
        <v>67</v>
      </c>
      <c r="B26" s="110">
        <f>'68-Dec'!B16</f>
        <v>18750</v>
      </c>
      <c r="C26" s="110">
        <f>'68-Dec'!C16</f>
        <v>0</v>
      </c>
      <c r="D26" s="110">
        <f>'68-Dec'!D16</f>
        <v>0</v>
      </c>
      <c r="E26" s="110">
        <f>'68-Dec'!E16</f>
        <v>0</v>
      </c>
      <c r="F26" s="110">
        <f>'68-Dec'!F16</f>
        <v>0</v>
      </c>
      <c r="G26" s="110">
        <f>'68-Dec'!G16</f>
        <v>0</v>
      </c>
      <c r="H26" s="107">
        <f t="shared" si="0"/>
        <v>18750</v>
      </c>
      <c r="I26" s="41" t="s">
        <v>62</v>
      </c>
      <c r="J26" s="111">
        <f>(15000)*I26</f>
        <v>750</v>
      </c>
      <c r="K26" s="111">
        <f>B26*3%</f>
        <v>562.5</v>
      </c>
      <c r="L26" s="111">
        <f>H26-J26-K26</f>
        <v>17437.5</v>
      </c>
      <c r="M26" s="107">
        <f t="shared" si="4"/>
        <v>17437.5</v>
      </c>
      <c r="N26" s="41" t="s">
        <v>114</v>
      </c>
      <c r="O26" s="107"/>
    </row>
    <row r="27" spans="1:15" ht="18" thickBot="1" x14ac:dyDescent="0.3">
      <c r="A27" s="113"/>
      <c r="B27" s="114"/>
      <c r="C27" s="115"/>
      <c r="D27" s="115"/>
      <c r="E27" s="115"/>
      <c r="F27" s="115"/>
      <c r="G27" s="115"/>
      <c r="H27" s="114"/>
      <c r="I27" s="113"/>
      <c r="J27" s="116"/>
      <c r="K27" s="113"/>
      <c r="L27" s="114"/>
      <c r="M27" s="114"/>
      <c r="N27" s="117"/>
      <c r="O27" s="114"/>
    </row>
    <row r="28" spans="1:15" ht="21" thickBot="1" x14ac:dyDescent="0.3">
      <c r="A28" s="118" t="s">
        <v>68</v>
      </c>
      <c r="B28" s="119">
        <f t="shared" ref="B28:H28" si="5">SUM(B15:B27)</f>
        <v>93750</v>
      </c>
      <c r="C28" s="119">
        <f t="shared" si="5"/>
        <v>0</v>
      </c>
      <c r="D28" s="119">
        <f t="shared" si="5"/>
        <v>0</v>
      </c>
      <c r="E28" s="119">
        <f t="shared" si="5"/>
        <v>0</v>
      </c>
      <c r="F28" s="119">
        <f t="shared" si="5"/>
        <v>0</v>
      </c>
      <c r="G28" s="119">
        <f t="shared" si="5"/>
        <v>0</v>
      </c>
      <c r="H28" s="119">
        <f t="shared" si="5"/>
        <v>93750</v>
      </c>
      <c r="I28" s="120"/>
      <c r="J28" s="120">
        <f>SUM(J15:J27)</f>
        <v>9000</v>
      </c>
      <c r="K28" s="120">
        <f>SUM(K15:K27)</f>
        <v>2812.5</v>
      </c>
      <c r="L28" s="119">
        <f>SUM(L15:L27)</f>
        <v>81937.5</v>
      </c>
      <c r="M28" s="121">
        <f>SUM(M15:M27)</f>
        <v>81937.5</v>
      </c>
      <c r="N28" s="122"/>
      <c r="O28" s="121"/>
    </row>
    <row r="29" spans="1:15" ht="18" thickTop="1" x14ac:dyDescent="0.25"/>
  </sheetData>
  <mergeCells count="4">
    <mergeCell ref="A1:O1"/>
    <mergeCell ref="A2:O2"/>
    <mergeCell ref="A3:O3"/>
    <mergeCell ref="M12:N12"/>
  </mergeCells>
  <phoneticPr fontId="22" type="noConversion"/>
  <pageMargins left="0.62992125984251968" right="0.11811023622047245" top="0.35433070866141736" bottom="0.15748031496062992" header="0.31496062992125984" footer="0.31496062992125984"/>
  <pageSetup scale="9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14</vt:i4>
      </vt:variant>
    </vt:vector>
  </HeadingPairs>
  <TitlesOfParts>
    <vt:vector size="14" baseType="lpstr">
      <vt:lpstr>68-jan</vt:lpstr>
      <vt:lpstr>68-Feb</vt:lpstr>
      <vt:lpstr>68-Mar</vt:lpstr>
      <vt:lpstr>68-Apr</vt:lpstr>
      <vt:lpstr>68-May</vt:lpstr>
      <vt:lpstr>68-Jun</vt:lpstr>
      <vt:lpstr>68-Jul</vt:lpstr>
      <vt:lpstr>68-Aug</vt:lpstr>
      <vt:lpstr>68-Sep</vt:lpstr>
      <vt:lpstr>68-Oct</vt:lpstr>
      <vt:lpstr>68-Nov</vt:lpstr>
      <vt:lpstr>68-Dec</vt:lpstr>
      <vt:lpstr>ด้านหลัง</vt:lpstr>
      <vt:lpstr>ใบสรุป-68</vt:lpstr>
    </vt:vector>
  </TitlesOfParts>
  <Company>*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Windows10 Pro</cp:lastModifiedBy>
  <cp:lastPrinted>2025-09-30T04:57:19Z</cp:lastPrinted>
  <dcterms:created xsi:type="dcterms:W3CDTF">2009-03-01T02:58:04Z</dcterms:created>
  <dcterms:modified xsi:type="dcterms:W3CDTF">2026-01-07T02:04:45Z</dcterms:modified>
</cp:coreProperties>
</file>