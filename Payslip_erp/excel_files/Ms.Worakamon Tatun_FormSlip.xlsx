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24A697D1-E61B-48AD-9B9D-0AE4028F6848}" xr6:coauthVersionLast="37" xr6:coauthVersionMax="47" xr10:uidLastSave="{00000000-0000-0000-0000-000000000000}"/>
  <bookViews>
    <workbookView xWindow="0" yWindow="0" windowWidth="23040" windowHeight="9084" tabRatio="601" firstSheet="6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 l="1"/>
  <c r="B11" i="58" l="1"/>
  <c r="B16" i="57" l="1"/>
  <c r="B16" i="56"/>
  <c r="B16" i="58"/>
  <c r="M17" i="44" l="1"/>
  <c r="D24" i="5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<sst xmlns="http://schemas.openxmlformats.org/spreadsheetml/2006/main" count="723" uniqueCount="125">
  <si>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</si>
  <si>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</si>
  <si>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</si>
  <si>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</si>
  <si>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</si>
  <si>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</si>
  <si>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</si>
  <si>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</si>
  <si>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</si>
  <si>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</si>
  <si>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</si>
  <si>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</si>
  <si>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</si>
  <si>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</si>
  <si>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</si>
  <si>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</si>
  <si>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</si>
  <si>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</si>
  <si>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</si>
  <si>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</si>
  <si>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</si>
  <si>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</si>
  <si>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</si>
  <si>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</si>
  <si>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</si>
  <si>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</si>
  <si>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</si>
  <si>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</si>
  <si>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</si>
  <si>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</si>
  <si>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</si>
  <si>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</si>
  <si>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</si>
  <si>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</si>
  <si>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</si>
  <si>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</si>
  <si>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</si>
  <si>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</si>
  <si>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</si>
  <si>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</si>
  <si>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</si>
  <si>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</si>
  <si>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</si>
  <si>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</si>
  <si>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</si>
  <si>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</si>
  <si>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</si>
  <si>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</si>
  <si>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</si>
  <si>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</si>
  <si>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</si>
  <si>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</si>
  <si>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</si>
  <si>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</si>
  <si>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</si>
  <si>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</si>
  <si>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</si>
  <si>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</si>
  <si>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</si>
  <si>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</si>
  <si>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</si>
  <si>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</si>
  <si>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</si>
  <si>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</si>
  <si>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</si>
  <si>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</si>
  <si>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</si>
  <si>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</si>
  <si>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</si>
  <si>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</si>
  <si>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</si>
  <si>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</si>
  <si>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</si>
  <si>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</si>
  <si>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</si>
  <si>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</si>
  <si>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</si>
  <si>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</si>
  <si>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</si>
  <si>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</si>
  <si>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</si>
  <si>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</si>
  <si>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</si>
  <si>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</si>
  <si>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</si>
  <si>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</si>
  <si>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</si>
  <si>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</si>
  <si>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</si>
  <si>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</si>
  <si>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</si>
  <si>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</si>
  <si>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</si>
  <si>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</si>
  <si>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</si>
  <si>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</si>
  <si>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</si>
  <si>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</si>
  <si>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</si>
  <si>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</si>
  <si>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</si>
  <si>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</si>
  <si>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</si>
  <si>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</si>
  <si>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</si>
  <si>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</si>
  <si>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</si>
  <si>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</si>
  <si>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</si>
  <si>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</si>
  <si>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</si>
  <si>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</si>
  <si>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</si>
  <si>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</si>
  <si>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</si>
  <si>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</si>
  <si>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Office</t>
  </si>
  <si>
    <t>Miss Worakamon  Tatun</t>
  </si>
  <si>
    <t>นางสาววรกมล  ทาตุ่น</t>
  </si>
  <si>
    <t>641207</t>
  </si>
  <si>
    <t>3540300156774</t>
  </si>
  <si>
    <t>Administration Department</t>
  </si>
  <si>
    <t>Admin</t>
  </si>
  <si>
    <t>07/12/2564</t>
  </si>
  <si>
    <t>fmgn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</si>
</sst>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0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F20" sqref="F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0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F23" sqref="F23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0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7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22500+750</f>
        <v>23250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23250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23250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22500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D17" sqref="D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22500+750</f>
        <v>23250</v>
      </c>
      <c r="C16" s="145"/>
      <c r="D16" s="145"/>
      <c r="E16" s="147">
        <v>1000</v>
      </c>
      <c r="F16" s="146">
        <v>0</v>
      </c>
      <c r="G16" s="146">
        <v>0</v>
      </c>
      <c r="H16" s="53"/>
      <c r="I16" s="31">
        <f>SUM(B16+C16+D16+E16+F16+G16)</f>
        <v>24250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47500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23500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4" zoomScale="110" zoomScaleNormal="110" workbookViewId="0">
      <selection activeCell="F7" sqref="F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22500+750</f>
        <v>23250</v>
      </c>
      <c r="C16" s="145"/>
      <c r="D16" s="145"/>
      <c r="E16" s="147">
        <v>2000</v>
      </c>
      <c r="F16" s="146">
        <v>0</v>
      </c>
      <c r="G16" s="146">
        <v>0</v>
      </c>
      <c r="H16" s="53"/>
      <c r="I16" s="31">
        <f>SUM(B16+C16+D16+E16+F16+G16)</f>
        <v>25250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72750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24500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0" zoomScale="110" zoomScaleNormal="11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22500+750</f>
        <v>23250</v>
      </c>
      <c r="C16" s="145"/>
      <c r="D16" s="145"/>
      <c r="E16" s="147">
        <v>2000</v>
      </c>
      <c r="F16" s="146">
        <v>0</v>
      </c>
      <c r="G16" s="146">
        <v>0</v>
      </c>
      <c r="H16" s="53"/>
      <c r="I16" s="31">
        <f>SUM(B16+C16+D16+E16+F16+G16)</f>
        <v>25250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 t="s">
        <v>124</v>
      </c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98000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24500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115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23500+750</f>
        <v>24250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24250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122250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23500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7" workbookViewId="0">
      <selection activeCell="H10" sqref="H10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117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118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50" t="s">
        <v>119</v>
      </c>
      <c r="D6" s="150" t="s">
        <v>120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121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116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122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49" t="s">
        <v>123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-750</v>
      </c>
      <c r="M17" s="107">
        <f>L17</f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-750</v>
      </c>
      <c r="M18" s="107">
        <f t="shared" si="4"/>
        <v>-750</v>
      </c>
      <c r="N18" s="41" t="s">
        <v>106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-750</v>
      </c>
      <c r="M19" s="107">
        <f t="shared" si="4"/>
        <v>-750</v>
      </c>
      <c r="N19" s="41" t="s">
        <v>107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-750</v>
      </c>
      <c r="M20" s="107">
        <f t="shared" si="4"/>
        <v>-750</v>
      </c>
      <c r="N20" s="41" t="s">
        <v>108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-750</v>
      </c>
      <c r="M21" s="107">
        <f t="shared" si="4"/>
        <v>-750</v>
      </c>
      <c r="N21" s="41" t="s">
        <v>109</v>
      </c>
      <c r="O21" s="107"/>
    </row>
    <row r="22" spans="1:15" x14ac:dyDescent="0.25">
      <c r="A22" s="112" t="s">
        <v>63</v>
      </c>
      <c r="B22" s="110">
        <f>'68-Aug'!B16</f>
        <v>23250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23250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22500</v>
      </c>
      <c r="M22" s="107">
        <f t="shared" si="4"/>
        <v>22500</v>
      </c>
      <c r="N22" s="41" t="s">
        <v>110</v>
      </c>
      <c r="O22" s="107"/>
    </row>
    <row r="23" spans="1:15" x14ac:dyDescent="0.25">
      <c r="A23" s="112" t="s">
        <v>64</v>
      </c>
      <c r="B23" s="110">
        <f>'68-Sep'!B16</f>
        <v>23250</v>
      </c>
      <c r="C23" s="110">
        <f>'68-Sep'!C16</f>
        <v>0</v>
      </c>
      <c r="D23" s="110">
        <f>'68-Sep'!D16</f>
        <v>0</v>
      </c>
      <c r="E23" s="110">
        <f>'68-Sep'!E16</f>
        <v>1000</v>
      </c>
      <c r="F23" s="110">
        <f>'68-Sep'!F16</f>
        <v>0</v>
      </c>
      <c r="G23" s="110">
        <f>'68-Sep'!G16</f>
        <v>0</v>
      </c>
      <c r="H23" s="107">
        <f t="shared" si="0"/>
        <v>24250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23500</v>
      </c>
      <c r="M23" s="107">
        <f t="shared" si="4"/>
        <v>23500</v>
      </c>
      <c r="N23" s="41" t="s">
        <v>111</v>
      </c>
      <c r="O23" s="107"/>
    </row>
    <row r="24" spans="1:15" x14ac:dyDescent="0.25">
      <c r="A24" s="112" t="s">
        <v>65</v>
      </c>
      <c r="B24" s="110">
        <f>'68-Oct'!B16</f>
        <v>23250</v>
      </c>
      <c r="C24" s="110">
        <f>'68-Oct'!C16</f>
        <v>0</v>
      </c>
      <c r="D24" s="110">
        <f>'68-Oct'!D16</f>
        <v>0</v>
      </c>
      <c r="E24" s="110">
        <f>'68-Oct'!E16</f>
        <v>2000</v>
      </c>
      <c r="F24" s="110">
        <f>'68-Oct'!F16</f>
        <v>0</v>
      </c>
      <c r="G24" s="110">
        <f>'68-Oct'!G16</f>
        <v>0</v>
      </c>
      <c r="H24" s="107">
        <f t="shared" si="0"/>
        <v>25250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24500</v>
      </c>
      <c r="M24" s="107">
        <f t="shared" si="4"/>
        <v>24500</v>
      </c>
      <c r="N24" s="41" t="s">
        <v>112</v>
      </c>
      <c r="O24" s="107"/>
    </row>
    <row r="25" spans="1:15" x14ac:dyDescent="0.25">
      <c r="A25" s="112" t="s">
        <v>66</v>
      </c>
      <c r="B25" s="110">
        <f>'68-Nov'!B16</f>
        <v>23250</v>
      </c>
      <c r="C25" s="110">
        <f>'68-Nov'!C16</f>
        <v>0</v>
      </c>
      <c r="D25" s="110">
        <f>'68-Nov'!D16</f>
        <v>0</v>
      </c>
      <c r="E25" s="110">
        <f>'68-Nov'!E16</f>
        <v>2000</v>
      </c>
      <c r="F25" s="110">
        <f>'68-Nov'!F16</f>
        <v>0</v>
      </c>
      <c r="G25" s="110">
        <f>'68-Nov'!G16</f>
        <v>0</v>
      </c>
      <c r="H25" s="107">
        <f t="shared" si="0"/>
        <v>25250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24500</v>
      </c>
      <c r="M25" s="107">
        <f t="shared" si="4"/>
        <v>24500</v>
      </c>
      <c r="N25" s="41" t="s">
        <v>113</v>
      </c>
      <c r="O25" s="107"/>
    </row>
    <row r="26" spans="1:15" x14ac:dyDescent="0.25">
      <c r="A26" s="112" t="s">
        <v>67</v>
      </c>
      <c r="B26" s="110">
        <f>'68-Dec'!B16</f>
        <v>24250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24250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23500</v>
      </c>
      <c r="M26" s="107">
        <f t="shared" si="4"/>
        <v>23500</v>
      </c>
      <c r="N26" s="41" t="s">
        <v>114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117250</v>
      </c>
      <c r="C28" s="119">
        <f t="shared" si="5"/>
        <v>0</v>
      </c>
      <c r="D28" s="119">
        <f t="shared" si="5"/>
        <v>0</v>
      </c>
      <c r="E28" s="119">
        <f t="shared" si="5"/>
        <v>5000</v>
      </c>
      <c r="F28" s="119">
        <f t="shared" si="5"/>
        <v>0</v>
      </c>
      <c r="G28" s="119">
        <f t="shared" si="5"/>
        <v>0</v>
      </c>
      <c r="H28" s="119">
        <f t="shared" si="5"/>
        <v>122250</v>
      </c>
      <c r="I28" s="120"/>
      <c r="J28" s="120">
        <f>SUM(J15:J27)</f>
        <v>9000</v>
      </c>
      <c r="K28" s="120">
        <f>SUM(K15:K27)</f>
        <v>0</v>
      </c>
      <c r="L28" s="119">
        <f>SUM(L15:L27)</f>
        <v>113250</v>
      </c>
      <c r="M28" s="121">
        <f>SUM(M15:M27)</f>
        <v>113250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2026-01-07T02:06:41Z</dcterms:modified>
</cp:coreProperties>
</file>