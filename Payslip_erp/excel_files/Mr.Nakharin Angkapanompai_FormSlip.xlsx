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B81B7723-B484-42B5-8047-BB4FDDBC3D22}" xr6:coauthVersionLast="37" xr6:coauthVersionMax="47" xr10:uidLastSave="{00000000-0000-0000-0000-000000000000}"/>
  <bookViews>
    <workbookView xWindow="0" yWindow="0" windowWidth="23040" windowHeight="9084" tabRatio="601" firstSheet="5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60" l="1"/>
  <c r="B16" i="59" l="1"/>
  <c r="B16" i="58"/>
  <c r="B16" i="57" l="1"/>
  <c r="M15" i="44" l="1"/>
  <c r="D24" i="54"/>
  <c r="J15" i="44"/>
  <c r="J16" i="44"/>
  <c r="J17" i="44"/>
  <c r="J18" i="44"/>
  <c r="J19" i="44"/>
  <c r="J20" i="44"/>
  <c r="J21" i="44"/>
  <c r="J22" i="44"/>
  <c r="J23" i="44"/>
  <c r="J24" i="44"/>
  <c r="J25" i="44"/>
  <c r="J26" i="44"/>
  <c r="I16" i="60"/>
  <c r="I24" i="60" s="1"/>
  <c r="C24" i="60"/>
  <c r="C24" i="59"/>
  <c r="C24" i="58"/>
  <c r="C24" i="57"/>
  <c r="C24" i="56"/>
  <c r="D24" i="55"/>
  <c r="D24" i="56" s="1"/>
  <c r="D24" i="57" s="1"/>
  <c r="D24" i="58" s="1"/>
  <c r="D24" i="59" s="1"/>
  <c r="D24" i="60" s="1"/>
  <c r="C24" i="55"/>
  <c r="C24" i="54"/>
  <c r="D24" i="53"/>
  <c r="C24" i="53"/>
  <c r="D24" i="52"/>
  <c r="C24" i="52"/>
  <c r="D24" i="51"/>
  <c r="C24" i="51"/>
  <c r="C24" i="50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28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I20" i="28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<sst xmlns="http://schemas.openxmlformats.org/spreadsheetml/2006/main" count="722" uniqueCount="123">
  <si>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</si>
  <si>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</si>
  <si>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</si>
  <si>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</si>
  <si>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</si>
  <si>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</si>
  <si>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</si>
  <si>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</si>
  <si>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</si>
  <si>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</si>
  <si>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</si>
  <si>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</si>
  <si>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</si>
  <si>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</si>
  <si>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</si>
  <si>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</si>
  <si>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</si>
  <si>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</si>
  <si>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</si>
  <si>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</si>
  <si>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</si>
  <si>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</si>
  <si>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</si>
  <si>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</si>
  <si>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</si>
  <si>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</si>
  <si>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</si>
  <si>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</si>
  <si>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</si>
  <si>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</si>
  <si>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</si>
  <si>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</si>
  <si>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</si>
  <si>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</si>
  <si>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</si>
  <si>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</si>
  <si>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</si>
  <si>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</si>
  <si>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</si>
  <si>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</si>
  <si>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</si>
  <si>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</si>
  <si>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</si>
  <si>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</si>
  <si>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</si>
  <si>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</si>
  <si>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</si>
  <si>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</si>
  <si>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</si>
  <si>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</si>
  <si>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</si>
  <si>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</si>
  <si>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</si>
  <si>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</si>
  <si>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</si>
  <si>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</si>
  <si>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</si>
  <si>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</si>
  <si>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</si>
  <si>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</si>
  <si>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</si>
  <si>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</si>
  <si>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</si>
  <si>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</si>
  <si>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</si>
  <si>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</si>
  <si>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</si>
  <si>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</si>
  <si>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</si>
  <si>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</si>
  <si>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</si>
  <si>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</si>
  <si>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</si>
  <si>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</si>
  <si>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</si>
  <si>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</si>
  <si>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</si>
  <si>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</si>
  <si>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</si>
  <si>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</si>
  <si>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</si>
  <si>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</si>
  <si>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</si>
  <si>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</si>
  <si>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</si>
  <si>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</si>
  <si>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</si>
  <si>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</si>
  <si>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</si>
  <si>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</si>
  <si>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</si>
  <si>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</si>
  <si>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</si>
  <si>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</si>
  <si>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</si>
  <si>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</si>
  <si>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</si>
  <si>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</si>
  <si>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</si>
  <si>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</si>
  <si>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</si>
  <si>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</si>
  <si>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</si>
  <si>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</si>
  <si>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</si>
  <si>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</si>
  <si>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</si>
  <si>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</si>
  <si>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</si>
  <si>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</si>
  <si>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</si>
  <si>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</si>
  <si>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</si>
  <si>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</si>
  <si>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</si>
  <si>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</si>
  <si>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</si>
  <si>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</si>
  <si>
    <t>Mr.Nakharin Angkapanompai</t>
  </si>
  <si>
    <t>นายนครินทร์ อังคะพนมไพร</t>
  </si>
  <si>
    <t>650321</t>
  </si>
  <si>
    <t>1209000128664</t>
  </si>
  <si>
    <t>21/03/2565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</si>
</sst>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49" fontId="21" fillId="0" borderId="4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6" zoomScale="120" zoomScaleNormal="120" workbookViewId="0">
      <selection activeCell="F17" sqref="F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650321</v>
      </c>
      <c r="G7" s="143" t="str">
        <f>+'ใบสรุป-68'!D6</f>
        <v>1209000128664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0</v>
      </c>
      <c r="C24" s="6">
        <f>C20</f>
        <v>750</v>
      </c>
      <c r="D24" s="36">
        <f>B20</f>
        <v>0</v>
      </c>
      <c r="E24" s="54">
        <f>F16+G16+D20+E20</f>
        <v>0</v>
      </c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3" zoomScale="110" zoomScaleNormal="110" workbookViewId="0">
      <selection activeCell="F20" sqref="F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650321</v>
      </c>
      <c r="G7" s="143" t="str">
        <f>+'ใบสรุป-68'!D6</f>
        <v>1209000128664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0</v>
      </c>
      <c r="C24" s="35">
        <f>C20+'68-jan'!C24</f>
        <v>1500</v>
      </c>
      <c r="D24" s="36">
        <f>B20+'68-jan'!D24</f>
        <v>0</v>
      </c>
      <c r="E24" s="54"/>
      <c r="F24" s="61"/>
      <c r="I24" s="65">
        <f>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650321</v>
      </c>
      <c r="G7" s="143" t="str">
        <f>+'ใบสรุป-68'!D6</f>
        <v>1209000128664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I16+'68-Feb'!B24</f>
        <v>0</v>
      </c>
      <c r="C24" s="35">
        <f>C20+'68-Feb'!C24</f>
        <v>2250</v>
      </c>
      <c r="D24" s="36">
        <f>B20+'68-Feb'!D24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650321</v>
      </c>
      <c r="G7" s="143" t="str">
        <f>+'ใบสรุป-68'!D6</f>
        <v>1209000128664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I16+'68-Mar'!B24</f>
        <v>0</v>
      </c>
      <c r="C24" s="35">
        <f>C20+'68-Mar'!C24</f>
        <v>3000</v>
      </c>
      <c r="D24" s="36">
        <f>B20+'68-Mar'!D24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F23" sqref="F23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650321</v>
      </c>
      <c r="G7" s="143" t="str">
        <f>+'ใบสรุป-68'!D6</f>
        <v>1209000128664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I16+'68-Apr'!B24</f>
        <v>0</v>
      </c>
      <c r="C24" s="35">
        <f>C20+'68-Apr'!C24</f>
        <v>3750</v>
      </c>
      <c r="D24" s="36">
        <f>B20+'68-Apr'!D24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650321</v>
      </c>
      <c r="G7" s="143" t="str">
        <f>+'ใบสรุป-68'!D6</f>
        <v>1209000128664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I16+'68-May'!B24</f>
        <v>0</v>
      </c>
      <c r="C24" s="35">
        <f>C20+'68-May'!C24</f>
        <v>4500</v>
      </c>
      <c r="D24" s="36">
        <f>B20+'68-May'!D24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650321</v>
      </c>
      <c r="G7" s="143" t="str">
        <f>+'ใบสรุป-68'!D6</f>
        <v>1209000128664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I16+'68-Jun'!B24</f>
        <v>0</v>
      </c>
      <c r="C24" s="35">
        <f>C20+'68-Jun'!C24</f>
        <v>5250</v>
      </c>
      <c r="D24" s="36">
        <f>B20+'68-Jun'!D24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650321</v>
      </c>
      <c r="G7" s="143" t="str">
        <f>+'ใบสรุป-68'!D6</f>
        <v>1209000128664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I16+'68-Jul'!B24</f>
        <v>0</v>
      </c>
      <c r="C24" s="35">
        <f>C20+'68-Jul'!C24</f>
        <v>6000</v>
      </c>
      <c r="D24" s="36">
        <f>B20+'68-Jul'!D24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10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650321</v>
      </c>
      <c r="G7" s="143" t="str">
        <f>+'ใบสรุป-68'!D6</f>
        <v>1209000128664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16240+750</f>
        <v>16990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16990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I16+'68-Aug'!B24</f>
        <v>16990</v>
      </c>
      <c r="C24" s="35">
        <f>C20+'68-Aug'!C24</f>
        <v>6750</v>
      </c>
      <c r="D24" s="36">
        <f>B20+'68-Aug'!D24</f>
        <v>0</v>
      </c>
      <c r="E24" s="54"/>
      <c r="F24" s="61"/>
      <c r="I24" s="65">
        <f>+I16-I20</f>
        <v>16240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zoomScale="110" zoomScaleNormal="110" workbookViewId="0">
      <selection activeCell="B16" sqref="B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650321</v>
      </c>
      <c r="G7" s="143" t="str">
        <f>+'ใบสรุป-68'!D6</f>
        <v>1209000128664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16400+750</f>
        <v>17150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17150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I16+'68-Sep'!B24</f>
        <v>34140</v>
      </c>
      <c r="C24" s="35">
        <f>C20+'68-Sep'!C24</f>
        <v>7500</v>
      </c>
      <c r="D24" s="36">
        <f>B20+'68-Sep'!D24</f>
        <v>0</v>
      </c>
      <c r="E24" s="54"/>
      <c r="F24" s="61"/>
      <c r="I24" s="65">
        <f>+I16-I20</f>
        <v>16400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6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650321</v>
      </c>
      <c r="G7" s="143" t="str">
        <f>+'ใบสรุป-68'!D6</f>
        <v>1209000128664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16837+750</f>
        <v>17587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17587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I16+'68-Oct'!B24</f>
        <v>51727</v>
      </c>
      <c r="C24" s="35">
        <f>C20+'68-Oct'!C24</f>
        <v>8250</v>
      </c>
      <c r="D24" s="36">
        <f>B20+'68-Oct'!D24</f>
        <v>0</v>
      </c>
      <c r="E24" s="54"/>
      <c r="F24" s="61"/>
      <c r="I24" s="65">
        <f>+I16-I20</f>
        <v>16837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topLeftCell="A10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650321</v>
      </c>
      <c r="G7" s="143" t="str">
        <f>+'ใบสรุป-68'!D6</f>
        <v>1209000128664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117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16081+750</f>
        <v>16831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16831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I16+'68-Nov'!B24</f>
        <v>68558</v>
      </c>
      <c r="C24" s="35">
        <f>C20+'68-Nov'!C24</f>
        <v>9000</v>
      </c>
      <c r="D24" s="36">
        <f>B20+'68-Nov'!D24</f>
        <v>0</v>
      </c>
      <c r="E24" s="54"/>
      <c r="F24" s="61"/>
      <c r="I24" s="65">
        <f>I16-I20</f>
        <v>16081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workbookViewId="0">
      <selection activeCell="F10" sqref="F10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39" t="s">
        <v>118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4" t="s">
        <v>2</v>
      </c>
      <c r="B5" s="135"/>
      <c r="C5" s="141" t="s">
        <v>119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6"/>
      <c r="C6" s="149" t="s">
        <v>120</v>
      </c>
      <c r="D6" s="149" t="s">
        <v>121</v>
      </c>
      <c r="E6" s="132"/>
      <c r="F6" s="79"/>
      <c r="G6" s="79"/>
      <c r="H6" s="79"/>
      <c r="I6" s="80"/>
      <c r="J6" s="80"/>
      <c r="L6" s="81"/>
    </row>
    <row r="7" spans="1:15" ht="21" thickBot="1" x14ac:dyDescent="0.3">
      <c r="A7" s="137" t="s">
        <v>24</v>
      </c>
      <c r="B7" s="138"/>
      <c r="C7" s="131" t="s">
        <v>107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106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7" t="s">
        <v>32</v>
      </c>
      <c r="B9" s="138"/>
      <c r="C9" s="128" t="s">
        <v>107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50" t="s">
        <v>122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0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0</v>
      </c>
      <c r="I15" s="41" t="s">
        <v>62</v>
      </c>
      <c r="J15" s="111">
        <f t="shared" ref="J15:J25" si="1">(15000)*I15</f>
        <v>750</v>
      </c>
      <c r="K15" s="111">
        <f>+-SUM(0)*3%</f>
        <v>0</v>
      </c>
      <c r="L15" s="111">
        <f>H15-J15</f>
        <v>-750</v>
      </c>
      <c r="M15" s="107">
        <f>L15</f>
        <v>-750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0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0</v>
      </c>
      <c r="I16" s="41" t="s">
        <v>62</v>
      </c>
      <c r="J16" s="111">
        <f t="shared" si="1"/>
        <v>750</v>
      </c>
      <c r="K16" s="111">
        <f t="shared" ref="K16:K26" si="2">+-SUM(0)*3%</f>
        <v>0</v>
      </c>
      <c r="L16" s="111">
        <f t="shared" ref="L16:L25" si="3">H16-J16</f>
        <v>-750</v>
      </c>
      <c r="M16" s="107">
        <f t="shared" ref="M16:M26" si="4">L16</f>
        <v>-750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0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0</v>
      </c>
      <c r="I17" s="41" t="s">
        <v>62</v>
      </c>
      <c r="J17" s="111">
        <f t="shared" si="1"/>
        <v>750</v>
      </c>
      <c r="K17" s="111">
        <f t="shared" si="2"/>
        <v>0</v>
      </c>
      <c r="L17" s="111">
        <f t="shared" si="3"/>
        <v>-750</v>
      </c>
      <c r="M17" s="107">
        <f t="shared" si="4"/>
        <v>-750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0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0"/>
        <v>0</v>
      </c>
      <c r="I18" s="41" t="s">
        <v>62</v>
      </c>
      <c r="J18" s="111">
        <f t="shared" si="1"/>
        <v>750</v>
      </c>
      <c r="K18" s="111">
        <f t="shared" si="2"/>
        <v>0</v>
      </c>
      <c r="L18" s="111">
        <f t="shared" si="3"/>
        <v>-750</v>
      </c>
      <c r="M18" s="107">
        <f t="shared" si="4"/>
        <v>-750</v>
      </c>
      <c r="N18" s="41" t="s">
        <v>108</v>
      </c>
      <c r="O18" s="107"/>
    </row>
    <row r="19" spans="1:15" x14ac:dyDescent="0.25">
      <c r="A19" s="112" t="s">
        <v>59</v>
      </c>
      <c r="B19" s="110">
        <f>'68-May'!B16</f>
        <v>0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0</v>
      </c>
      <c r="I19" s="41" t="s">
        <v>62</v>
      </c>
      <c r="J19" s="111">
        <f t="shared" si="1"/>
        <v>750</v>
      </c>
      <c r="K19" s="111">
        <f t="shared" si="2"/>
        <v>0</v>
      </c>
      <c r="L19" s="111">
        <f t="shared" si="3"/>
        <v>-750</v>
      </c>
      <c r="M19" s="107">
        <f t="shared" si="4"/>
        <v>-750</v>
      </c>
      <c r="N19" s="41" t="s">
        <v>109</v>
      </c>
      <c r="O19" s="107"/>
    </row>
    <row r="20" spans="1:15" x14ac:dyDescent="0.25">
      <c r="A20" s="112" t="s">
        <v>60</v>
      </c>
      <c r="B20" s="110">
        <f>'68-Jun'!B16</f>
        <v>0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0</v>
      </c>
      <c r="I20" s="41" t="s">
        <v>62</v>
      </c>
      <c r="J20" s="111">
        <f t="shared" si="1"/>
        <v>750</v>
      </c>
      <c r="K20" s="111">
        <f t="shared" si="2"/>
        <v>0</v>
      </c>
      <c r="L20" s="111">
        <f t="shared" si="3"/>
        <v>-750</v>
      </c>
      <c r="M20" s="107">
        <f t="shared" si="4"/>
        <v>-750</v>
      </c>
      <c r="N20" s="41" t="s">
        <v>110</v>
      </c>
      <c r="O20" s="107"/>
    </row>
    <row r="21" spans="1:15" x14ac:dyDescent="0.25">
      <c r="A21" s="112" t="s">
        <v>61</v>
      </c>
      <c r="B21" s="110">
        <f>'68-Jul'!B16</f>
        <v>0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0</v>
      </c>
      <c r="I21" s="41" t="s">
        <v>62</v>
      </c>
      <c r="J21" s="111">
        <f t="shared" si="1"/>
        <v>750</v>
      </c>
      <c r="K21" s="111">
        <f t="shared" si="2"/>
        <v>0</v>
      </c>
      <c r="L21" s="111">
        <f t="shared" si="3"/>
        <v>-750</v>
      </c>
      <c r="M21" s="107">
        <f t="shared" si="4"/>
        <v>-750</v>
      </c>
      <c r="N21" s="41" t="s">
        <v>111</v>
      </c>
      <c r="O21" s="107"/>
    </row>
    <row r="22" spans="1:15" x14ac:dyDescent="0.25">
      <c r="A22" s="112" t="s">
        <v>63</v>
      </c>
      <c r="B22" s="110">
        <f>'68-Aug'!B16</f>
        <v>0</v>
      </c>
      <c r="C22" s="110">
        <f>'68-Aug'!C16</f>
        <v>0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0"/>
        <v>0</v>
      </c>
      <c r="I22" s="41" t="s">
        <v>62</v>
      </c>
      <c r="J22" s="111">
        <f t="shared" si="1"/>
        <v>750</v>
      </c>
      <c r="K22" s="111">
        <f t="shared" si="2"/>
        <v>0</v>
      </c>
      <c r="L22" s="111">
        <f t="shared" si="3"/>
        <v>-750</v>
      </c>
      <c r="M22" s="107">
        <f t="shared" si="4"/>
        <v>-750</v>
      </c>
      <c r="N22" s="41" t="s">
        <v>112</v>
      </c>
      <c r="O22" s="107"/>
    </row>
    <row r="23" spans="1:15" x14ac:dyDescent="0.25">
      <c r="A23" s="112" t="s">
        <v>64</v>
      </c>
      <c r="B23" s="110">
        <f>'68-Sep'!B16</f>
        <v>16990</v>
      </c>
      <c r="C23" s="110">
        <f>'68-Sep'!C16</f>
        <v>0</v>
      </c>
      <c r="D23" s="110">
        <f>'68-Sep'!D16</f>
        <v>0</v>
      </c>
      <c r="E23" s="110">
        <f>'68-Sep'!E16</f>
        <v>0</v>
      </c>
      <c r="F23" s="110">
        <f>'68-Sep'!F16</f>
        <v>0</v>
      </c>
      <c r="G23" s="110">
        <f>'68-Sep'!G16</f>
        <v>0</v>
      </c>
      <c r="H23" s="107">
        <f t="shared" si="0"/>
        <v>16990</v>
      </c>
      <c r="I23" s="41" t="s">
        <v>62</v>
      </c>
      <c r="J23" s="111">
        <f t="shared" si="1"/>
        <v>750</v>
      </c>
      <c r="K23" s="111">
        <f t="shared" si="2"/>
        <v>0</v>
      </c>
      <c r="L23" s="111">
        <f t="shared" si="3"/>
        <v>16240</v>
      </c>
      <c r="M23" s="107">
        <f t="shared" si="4"/>
        <v>16240</v>
      </c>
      <c r="N23" s="41" t="s">
        <v>113</v>
      </c>
      <c r="O23" s="107"/>
    </row>
    <row r="24" spans="1:15" x14ac:dyDescent="0.25">
      <c r="A24" s="112" t="s">
        <v>65</v>
      </c>
      <c r="B24" s="110">
        <f>'68-Oct'!B16</f>
        <v>17150</v>
      </c>
      <c r="C24" s="110">
        <f>'68-Oct'!C16</f>
        <v>0</v>
      </c>
      <c r="D24" s="110">
        <f>'68-Oct'!D16</f>
        <v>0</v>
      </c>
      <c r="E24" s="110">
        <f>'68-Oct'!E16</f>
        <v>0</v>
      </c>
      <c r="F24" s="110">
        <f>'68-Oct'!F16</f>
        <v>0</v>
      </c>
      <c r="G24" s="110">
        <f>'68-Oct'!G16</f>
        <v>0</v>
      </c>
      <c r="H24" s="107">
        <f t="shared" si="0"/>
        <v>17150</v>
      </c>
      <c r="I24" s="41" t="s">
        <v>62</v>
      </c>
      <c r="J24" s="111">
        <f t="shared" si="1"/>
        <v>750</v>
      </c>
      <c r="K24" s="111">
        <f t="shared" si="2"/>
        <v>0</v>
      </c>
      <c r="L24" s="111">
        <f t="shared" si="3"/>
        <v>16400</v>
      </c>
      <c r="M24" s="107">
        <f t="shared" si="4"/>
        <v>16400</v>
      </c>
      <c r="N24" s="41" t="s">
        <v>114</v>
      </c>
      <c r="O24" s="107"/>
    </row>
    <row r="25" spans="1:15" x14ac:dyDescent="0.25">
      <c r="A25" s="112" t="s">
        <v>66</v>
      </c>
      <c r="B25" s="110">
        <f>'68-Nov'!B16</f>
        <v>17587</v>
      </c>
      <c r="C25" s="110">
        <f>'68-Nov'!C16</f>
        <v>0</v>
      </c>
      <c r="D25" s="110">
        <f>'68-Nov'!D16</f>
        <v>0</v>
      </c>
      <c r="E25" s="110">
        <f>'68-Nov'!E16</f>
        <v>0</v>
      </c>
      <c r="F25" s="110">
        <f>'68-Nov'!F16</f>
        <v>0</v>
      </c>
      <c r="G25" s="110">
        <f>'68-Nov'!G16</f>
        <v>0</v>
      </c>
      <c r="H25" s="107">
        <f t="shared" si="0"/>
        <v>17587</v>
      </c>
      <c r="I25" s="41" t="s">
        <v>62</v>
      </c>
      <c r="J25" s="111">
        <f t="shared" si="1"/>
        <v>750</v>
      </c>
      <c r="K25" s="111">
        <f t="shared" si="2"/>
        <v>0</v>
      </c>
      <c r="L25" s="111">
        <f t="shared" si="3"/>
        <v>16837</v>
      </c>
      <c r="M25" s="107">
        <f t="shared" si="4"/>
        <v>16837</v>
      </c>
      <c r="N25" s="41" t="s">
        <v>115</v>
      </c>
      <c r="O25" s="107"/>
    </row>
    <row r="26" spans="1:15" x14ac:dyDescent="0.25">
      <c r="A26" s="112" t="s">
        <v>67</v>
      </c>
      <c r="B26" s="110">
        <f>'68-Dec'!B16</f>
        <v>16831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16831</v>
      </c>
      <c r="I26" s="41" t="s">
        <v>62</v>
      </c>
      <c r="J26" s="111">
        <f>(15000)*I26</f>
        <v>750</v>
      </c>
      <c r="K26" s="111">
        <f t="shared" si="2"/>
        <v>0</v>
      </c>
      <c r="L26" s="111">
        <f>H26-J26</f>
        <v>16081</v>
      </c>
      <c r="M26" s="107">
        <f t="shared" si="4"/>
        <v>16081</v>
      </c>
      <c r="N26" s="41" t="s">
        <v>116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68558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68558</v>
      </c>
      <c r="I28" s="120"/>
      <c r="J28" s="120">
        <f>SUM(J15:J27)</f>
        <v>9000</v>
      </c>
      <c r="K28" s="120">
        <f>SUM(K15:K27)</f>
        <v>0</v>
      </c>
      <c r="L28" s="119">
        <f>SUM(L15:L27)</f>
        <v>59558</v>
      </c>
      <c r="M28" s="121">
        <f>SUM(M15:M27)</f>
        <v>59558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2026-01-07T01:57:36Z</dcterms:modified>
</cp:coreProperties>
</file>