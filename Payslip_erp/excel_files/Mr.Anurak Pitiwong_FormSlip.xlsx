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 Pro\Desktop\เงินเดือน\excel_files\"/>
    </mc:Choice>
  </mc:AlternateContent>
  <xr:revisionPtr revIDLastSave="0" documentId="13_ncr:1_{555D6651-1ED7-4170-A4ED-BC974842155D}" xr6:coauthVersionLast="37" xr6:coauthVersionMax="47" xr10:uidLastSave="{00000000-0000-0000-0000-000000000000}"/>
  <bookViews>
    <workbookView xWindow="-120" yWindow="-120" windowWidth="15600" windowHeight="11160" tabRatio="601" firstSheet="7" activeTab="11" xr2:uid="{741EA368-B2A2-404E-8A64-13EE997C4056}"/>
  </bookViews>
  <sheets>
    <sheet name="68-jan" sheetId="28" r:id="rId1"/>
    <sheet name="68-Feb" sheetId="50" r:id="rId2"/>
    <sheet name="68-Mar" sheetId="51" r:id="rId3"/>
    <sheet name="68-Apr" sheetId="52" r:id="rId4"/>
    <sheet name="68-May" sheetId="53" r:id="rId5"/>
    <sheet name="68-Jun" sheetId="54" r:id="rId6"/>
    <sheet name="68-Jul" sheetId="55" r:id="rId7"/>
    <sheet name="68-Aug" sheetId="56" r:id="rId8"/>
    <sheet name="68-Sep" sheetId="57" r:id="rId9"/>
    <sheet name="68-Oct" sheetId="58" r:id="rId10"/>
    <sheet name="68-Nov" sheetId="59" r:id="rId11"/>
    <sheet name="68-Dec" sheetId="60" r:id="rId12"/>
    <sheet name="ด้านหลัง" sheetId="32" r:id="rId13"/>
    <sheet name="ใบสรุป-68" sheetId="44" r:id="rId14"/>
  </sheets>
  <calcPr calcId="162913"/>
</workbook>
</file>

<file path=xl/calcChain.xml><?xml version="1.0" encoding="utf-8"?>
<calcChain xmlns="http://schemas.openxmlformats.org/spreadsheetml/2006/main">
  <c r="B16" i="60" l="1"/>
  <c r="B16" i="59" l="1"/>
  <c r="B16" i="58"/>
  <c r="B16" i="57" l="1"/>
  <c r="B16" i="56"/>
  <c r="M16" i="44" l="1"/>
  <c r="M17" i="44"/>
  <c r="M18" i="44"/>
  <c r="M19" i="44"/>
  <c r="M20" i="44"/>
  <c r="M21" i="44"/>
  <c r="M15" i="44"/>
  <c r="D24" i="54" l="1"/>
  <c r="J15" i="44"/>
  <c r="J16" i="44"/>
  <c r="J17" i="44"/>
  <c r="J18" i="44"/>
  <c r="J19" i="44"/>
  <c r="J20" i="44"/>
  <c r="J21" i="44"/>
  <c r="J22" i="44"/>
  <c r="J23" i="44"/>
  <c r="J24" i="44"/>
  <c r="J25" i="44"/>
  <c r="J26" i="44"/>
  <c r="I16" i="60"/>
  <c r="I24" i="60" s="1"/>
  <c r="C24" i="60"/>
  <c r="C24" i="59"/>
  <c r="C24" i="58"/>
  <c r="C24" i="57"/>
  <c r="C24" i="56"/>
  <c r="D24" i="55"/>
  <c r="D24" i="56" s="1"/>
  <c r="D24" i="57" s="1"/>
  <c r="D24" i="58" s="1"/>
  <c r="D24" i="59" s="1"/>
  <c r="D24" i="60" s="1"/>
  <c r="C24" i="55"/>
  <c r="C24" i="54"/>
  <c r="D24" i="53"/>
  <c r="C24" i="53"/>
  <c r="D24" i="52"/>
  <c r="C24" i="52"/>
  <c r="D24" i="51"/>
  <c r="C24" i="51"/>
  <c r="C24" i="50"/>
  <c r="D24" i="50"/>
  <c r="C24" i="28"/>
  <c r="I16" i="50"/>
  <c r="I24" i="50" s="1"/>
  <c r="F8" i="28"/>
  <c r="F7" i="28"/>
  <c r="I20" i="60"/>
  <c r="I20" i="59"/>
  <c r="I16" i="59"/>
  <c r="I24" i="59" s="1"/>
  <c r="I20" i="58"/>
  <c r="I16" i="58"/>
  <c r="I24" i="58" s="1"/>
  <c r="I20" i="57"/>
  <c r="I16" i="57"/>
  <c r="I24" i="57" s="1"/>
  <c r="I20" i="56"/>
  <c r="I16" i="56"/>
  <c r="I24" i="56" s="1"/>
  <c r="I20" i="55"/>
  <c r="I16" i="55"/>
  <c r="I24" i="55" s="1"/>
  <c r="I20" i="54"/>
  <c r="I16" i="54"/>
  <c r="I24" i="54" s="1"/>
  <c r="I20" i="53"/>
  <c r="I16" i="53"/>
  <c r="I24" i="53" s="1"/>
  <c r="I20" i="52"/>
  <c r="I16" i="52"/>
  <c r="I24" i="52" s="1"/>
  <c r="I20" i="51"/>
  <c r="I16" i="51"/>
  <c r="I24" i="51" s="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28" l="1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I20" i="28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L20" i="44"/>
  <c r="L19" i="44"/>
  <c r="L18" i="44"/>
  <c r="L17" i="44"/>
  <c r="L16" i="44"/>
  <c r="H28" i="44"/>
  <c r="M28" i="44" l="1"/>
  <c r="L28" i="44"/>
</calcChain>
</file>

<file path=xl/sharedStrings.xml><?xml version="1.0" encoding="utf-8"?>
<sst xmlns="http://schemas.openxmlformats.org/spreadsheetml/2006/main" count="722" uniqueCount="123">
  <si>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</si>
  <si>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</si>
  <si>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</si>
  <si>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</si>
  <si>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</si>
  <si>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</si>
  <si>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</si>
  <si>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</si>
  <si>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</si>
  <si>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</si>
  <si>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</si>
  <si>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</si>
  <si>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</si>
  <si>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</si>
  <si>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</si>
  <si>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</si>
  <si>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</si>
  <si>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</si>
  <si>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</si>
  <si>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</si>
  <si>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</si>
  <si>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</si>
  <si>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</si>
  <si>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</si>
  <si>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</si>
  <si>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</si>
  <si>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</si>
  <si>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</si>
  <si>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</si>
  <si>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</si>
  <si>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</si>
  <si>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</si>
  <si>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</si>
  <si>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</si>
  <si>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</si>
  <si>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</si>
  <si>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</si>
  <si>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</si>
  <si>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</si>
  <si>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</si>
  <si>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</si>
  <si>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</si>
  <si>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</si>
  <si>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</si>
  <si>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</si>
  <si>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</si>
  <si>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</si>
  <si>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</si>
  <si>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</si>
  <si>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</si>
  <si>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</si>
  <si>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</si>
  <si>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</si>
  <si>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</si>
  <si>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</si>
  <si>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</si>
  <si>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</si>
  <si>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</si>
  <si>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</si>
  <si>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</si>
  <si>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</si>
  <si>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</si>
  <si>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</si>
  <si>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</si>
  <si>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</si>
  <si>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</si>
  <si>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</si>
  <si>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</si>
  <si>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</si>
  <si>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ประจำปี  2568</t>
  </si>
  <si>
    <t>2568</t>
  </si>
  <si>
    <t>01/02/68</t>
  </si>
  <si>
    <t>01/03/68</t>
  </si>
  <si>
    <t>01/04/68</t>
  </si>
  <si>
    <t>01/03/2568</t>
  </si>
  <si>
    <t>01/02/2568</t>
  </si>
  <si>
    <t>01/04/2568</t>
  </si>
  <si>
    <t>01/05/2568</t>
  </si>
  <si>
    <t>เมษายน /April</t>
  </si>
  <si>
    <t>01/06/2568</t>
  </si>
  <si>
    <t>พฤษภาคม /May</t>
  </si>
  <si>
    <t>มิถุนายน /June</t>
  </si>
  <si>
    <t>01/07/2568</t>
  </si>
  <si>
    <t>กรกฎาคม /July</t>
  </si>
  <si>
    <t>01/08/2568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</si>
  <si>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</si>
  <si>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</si>
  <si>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</si>
  <si>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</si>
  <si>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</si>
  <si>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</si>
  <si>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</si>
  <si>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</si>
  <si>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</si>
  <si>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</si>
  <si>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</si>
  <si>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</si>
  <si>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01/09/2568</t>
  </si>
  <si>
    <t>กันยายน /September</t>
  </si>
  <si>
    <t>01/10/2568</t>
  </si>
  <si>
    <t>01/11/2568</t>
  </si>
  <si>
    <t>ตุลาคม /October</t>
  </si>
  <si>
    <t>01/12/2568</t>
  </si>
  <si>
    <t>พฤศจิกายน /November</t>
  </si>
  <si>
    <t>ธันวาคม /December</t>
  </si>
  <si>
    <t>วันที่เริ่มงาน</t>
  </si>
  <si>
    <t>Factory</t>
  </si>
  <si>
    <t>Technician</t>
  </si>
  <si>
    <t>01/05/68</t>
  </si>
  <si>
    <t>01/06/68</t>
  </si>
  <si>
    <t>01/07/68</t>
  </si>
  <si>
    <t>01/08/68</t>
  </si>
  <si>
    <t>01/09/68</t>
  </si>
  <si>
    <t>01/10/68</t>
  </si>
  <si>
    <t>01/11/68</t>
  </si>
  <si>
    <t>01/12/68</t>
  </si>
  <si>
    <t>01/01/69</t>
  </si>
  <si>
    <t>01/01/2569</t>
  </si>
  <si>
    <t>Mr.Anurak Pitiwong</t>
  </si>
  <si>
    <t>นายอนุรักษ์ ปิติวงษ์</t>
  </si>
  <si>
    <t>611201</t>
  </si>
  <si>
    <t>1451100223945</t>
  </si>
  <si>
    <t>01/12/2561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</si>
</sst>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(* #,##0.00_);_(* \(#,##0.00\);_(* &quot;-&quot;??_);_(@_)"/>
  </numFmts>
  <fonts count="23" x14ac:knownFonts="1">
    <font>
      <sz val="11"/>
      <color theme="1"/>
      <name val="Tahoma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Tahoma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4" fillId="0" borderId="3" xfId="1" applyFont="1" applyBorder="1" applyAlignment="1">
      <alignment horizontal="center"/>
    </xf>
    <xf numFmtId="43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43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43" fontId="4" fillId="0" borderId="5" xfId="1" applyFont="1" applyBorder="1"/>
    <xf numFmtId="43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3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43" fontId="5" fillId="0" borderId="0" xfId="1" applyFont="1" applyBorder="1"/>
    <xf numFmtId="43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3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43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187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5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16" zoomScale="120" zoomScaleNormal="120" workbookViewId="0">
      <selection activeCell="F17" sqref="F17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75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37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</f>
        <v>0</v>
      </c>
      <c r="C24" s="6">
        <f>C20</f>
        <v>750</v>
      </c>
      <c r="D24" s="36">
        <f>B20</f>
        <v>0</v>
      </c>
      <c r="E24" s="54">
        <f>F16+G16+D20+E20</f>
        <v>0</v>
      </c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13" zoomScale="110" zoomScaleNormal="110" workbookViewId="0">
      <selection activeCell="F20" sqref="F20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38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6">
        <f>I16+'68-jan'!B24</f>
        <v>0</v>
      </c>
      <c r="C24" s="35">
        <f>C20+'68-jan'!C24</f>
        <v>1500</v>
      </c>
      <c r="D24" s="36">
        <f>B20+'68-jan'!D24</f>
        <v>0</v>
      </c>
      <c r="E24" s="54"/>
      <c r="F24" s="61"/>
      <c r="I24" s="65">
        <f>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76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39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I16+'68-Feb'!B24</f>
        <v>0</v>
      </c>
      <c r="C24" s="35">
        <f>C20+'68-Feb'!C24</f>
        <v>2250</v>
      </c>
      <c r="D24" s="36">
        <f>B20+'68-Feb'!D24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78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I16+'68-Mar'!B24</f>
        <v>0</v>
      </c>
      <c r="C24" s="35">
        <f>C20+'68-Mar'!C24</f>
        <v>3000</v>
      </c>
      <c r="D24" s="36">
        <f>B20+'68-Mar'!D24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topLeftCell="A10" zoomScale="110" zoomScaleNormal="110" workbookViewId="0">
      <selection activeCell="F23" sqref="F23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79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80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I16+'68-Apr'!B24</f>
        <v>0</v>
      </c>
      <c r="C24" s="35">
        <f>C20+'68-Apr'!C24</f>
        <v>3750</v>
      </c>
      <c r="D24" s="36">
        <f>B20+'68-Apr'!D24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topLeftCell="A10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82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81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I16+'68-May'!B24</f>
        <v>0</v>
      </c>
      <c r="C24" s="35">
        <f>C20+'68-May'!C24</f>
        <v>4500</v>
      </c>
      <c r="D24" s="36">
        <f>B20+'68-May'!D24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topLeftCell="A13" zoomScale="110" zoomScaleNormal="110" workbookViewId="0">
      <selection activeCell="G16" sqref="G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84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83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I16+'68-Jun'!B24</f>
        <v>0</v>
      </c>
      <c r="C24" s="35">
        <f>C20+'68-Jun'!C24</f>
        <v>5250</v>
      </c>
      <c r="D24" s="36">
        <f>B20+'68-Jun'!D24</f>
        <v>0</v>
      </c>
      <c r="E24" s="54"/>
      <c r="F24" s="61"/>
      <c r="I24" s="65">
        <f>+I16-I20</f>
        <v>-750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97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96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21330+750</f>
        <v>22080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22080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I16+'68-Jul'!B24</f>
        <v>22080</v>
      </c>
      <c r="C24" s="35">
        <f>C20+'68-Jul'!C24</f>
        <v>6000</v>
      </c>
      <c r="D24" s="36">
        <f>B20+'68-Jul'!D24</f>
        <v>0</v>
      </c>
      <c r="E24" s="54"/>
      <c r="F24" s="61"/>
      <c r="I24" s="65">
        <f>+I16-I20</f>
        <v>21330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opLeftCell="A7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99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98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21200+750</f>
        <v>21950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21950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I16+'68-Aug'!B24</f>
        <v>44030</v>
      </c>
      <c r="C24" s="35">
        <f>C20+'68-Aug'!C24</f>
        <v>6750</v>
      </c>
      <c r="D24" s="36">
        <f>B20+'68-Aug'!D24</f>
        <v>0</v>
      </c>
      <c r="E24" s="54"/>
      <c r="F24" s="61"/>
      <c r="I24" s="65">
        <f>+I16-I20</f>
        <v>21200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7" zoomScale="110" zoomScaleNormal="110" workbookViewId="0">
      <selection activeCell="B16" sqref="B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100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101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21537+750</f>
        <v>22287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22287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I16+'68-Sep'!B24</f>
        <v>66317</v>
      </c>
      <c r="C24" s="35">
        <f>C20+'68-Sep'!C24</f>
        <v>7500</v>
      </c>
      <c r="D24" s="36">
        <f>B20+'68-Sep'!D24</f>
        <v>0</v>
      </c>
      <c r="E24" s="54"/>
      <c r="F24" s="61"/>
      <c r="I24" s="65">
        <f>+I16-I20</f>
        <v>21537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0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102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103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22550+750</f>
        <v>23300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23300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I16+'68-Oct'!B24</f>
        <v>89617</v>
      </c>
      <c r="C24" s="35">
        <f>C20+'68-Oct'!C24</f>
        <v>8250</v>
      </c>
      <c r="D24" s="36">
        <f>B20+'68-Oct'!D24</f>
        <v>0</v>
      </c>
      <c r="E24" s="54"/>
      <c r="F24" s="61"/>
      <c r="I24" s="65">
        <f>+I16-I20</f>
        <v>22550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abSelected="1" topLeftCell="A7" zoomScale="110" zoomScaleNormal="110" workbookViewId="0">
      <selection activeCell="C16" sqref="C16"/>
    </sheetView>
  </sheetViews>
  <sheetFormatPr defaultColWidth="9" defaultRowHeight="17.399999999999999" x14ac:dyDescent="0.45"/>
  <cols>
    <col min="1" max="1" width="11.296875" style="1" customWidth="1"/>
    <col min="2" max="4" width="12.69921875" style="1" customWidth="1"/>
    <col min="5" max="5" width="11.296875" style="1" customWidth="1"/>
    <col min="6" max="6" width="11.69921875" style="1" customWidth="1"/>
    <col min="7" max="7" width="12.69921875" style="1" customWidth="1"/>
    <col min="8" max="8" width="2.296875" style="1" customWidth="1"/>
    <col min="9" max="9" width="18.296875" style="1" customWidth="1"/>
    <col min="10" max="10" width="13.3984375" style="1" customWidth="1"/>
    <col min="11" max="11" width="15.09765625" style="1" customWidth="1"/>
    <col min="12" max="12" width="10.3984375" style="1" customWidth="1"/>
    <col min="13" max="16384" width="9" style="1"/>
  </cols>
  <sheetData>
    <row r="1" spans="1:11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 x14ac:dyDescent="0.45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" thickBot="1" x14ac:dyDescent="0.5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 x14ac:dyDescent="0.45"/>
    <row r="5" spans="1:11" ht="23.4" x14ac:dyDescent="0.6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 x14ac:dyDescent="0.5"/>
    <row r="7" spans="1:11" ht="21" thickBot="1" x14ac:dyDescent="0.6">
      <c r="D7" s="71" t="s">
        <v>92</v>
      </c>
      <c r="E7" s="72"/>
      <c r="F7" s="73" t="str">
        <f>+'ใบสรุป-68'!C6</f>
        <v>611201</v>
      </c>
      <c r="G7" s="143" t="str">
        <f>+'ใบสรุป-68'!D6</f>
        <v>1451100223945</v>
      </c>
      <c r="H7" s="47"/>
      <c r="I7" s="13" t="s">
        <v>30</v>
      </c>
      <c r="J7" s="49"/>
      <c r="K7" s="44"/>
    </row>
    <row r="8" spans="1:11" ht="18" thickBot="1" x14ac:dyDescent="0.5">
      <c r="D8" s="68" t="s">
        <v>24</v>
      </c>
      <c r="E8" s="70"/>
      <c r="F8" s="144" t="str">
        <f>+'ใบสรุป-68'!C7</f>
        <v>Technician</v>
      </c>
      <c r="G8" s="69"/>
      <c r="H8" s="47"/>
      <c r="I8" s="64" t="s">
        <v>117</v>
      </c>
      <c r="K8" s="50"/>
    </row>
    <row r="9" spans="1:11" x14ac:dyDescent="0.45">
      <c r="D9" s="14" t="s">
        <v>29</v>
      </c>
      <c r="E9" s="15"/>
      <c r="F9" s="14" t="str">
        <f>+'ใบสรุป-68'!C8</f>
        <v>Factory</v>
      </c>
      <c r="G9" s="66"/>
      <c r="H9" s="47"/>
      <c r="I9" s="13" t="s">
        <v>31</v>
      </c>
      <c r="K9" s="44"/>
    </row>
    <row r="10" spans="1:11" ht="18" thickBot="1" x14ac:dyDescent="0.5">
      <c r="D10" s="16" t="s">
        <v>32</v>
      </c>
      <c r="E10" s="17"/>
      <c r="F10" s="16" t="str">
        <f>+'ใบสรุป-68'!C9</f>
        <v>Technician</v>
      </c>
      <c r="G10" s="67"/>
      <c r="H10" s="47"/>
      <c r="I10" s="63" t="s">
        <v>104</v>
      </c>
      <c r="K10" s="44"/>
    </row>
    <row r="11" spans="1:11" x14ac:dyDescent="0.45">
      <c r="A11" s="12" t="s">
        <v>1</v>
      </c>
      <c r="B11" s="9" t="str">
        <f>+'ใบสรุป-68'!C4</f>
        <v>Mr.Anurak Pitiwong</v>
      </c>
      <c r="C11" s="24"/>
      <c r="D11" s="57"/>
      <c r="E11" s="10"/>
      <c r="F11" s="9"/>
      <c r="G11" s="11"/>
      <c r="H11" s="47"/>
      <c r="K11" s="44"/>
    </row>
    <row r="12" spans="1:11" ht="18" thickBot="1" x14ac:dyDescent="0.5">
      <c r="A12" s="23" t="s">
        <v>2</v>
      </c>
      <c r="B12" s="56" t="str">
        <f>+'ใบสรุป-68'!C5</f>
        <v>นายอนุรักษ์ ปิติวงษ์</v>
      </c>
      <c r="C12" s="25"/>
      <c r="D12" s="58"/>
      <c r="E12" s="25"/>
      <c r="F12" s="16"/>
      <c r="G12" s="18"/>
      <c r="H12" s="47"/>
      <c r="K12" s="27"/>
    </row>
    <row r="13" spans="1:11" ht="18" thickBot="1" x14ac:dyDescent="0.5">
      <c r="A13" s="28"/>
      <c r="B13" s="29"/>
      <c r="K13" s="44"/>
    </row>
    <row r="14" spans="1:11" x14ac:dyDescent="0.45">
      <c r="A14" s="20" t="s">
        <v>3</v>
      </c>
      <c r="B14" s="3" t="s">
        <v>4</v>
      </c>
      <c r="C14" s="3" t="s">
        <v>5</v>
      </c>
      <c r="D14" s="3" t="s">
        <v>85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" thickBot="1" x14ac:dyDescent="0.5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 x14ac:dyDescent="0.45">
      <c r="A16" s="30"/>
      <c r="B16" s="145">
        <f>21558+750</f>
        <v>22308</v>
      </c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22308</v>
      </c>
      <c r="K16" s="46"/>
    </row>
    <row r="17" spans="1:11" ht="18" thickBot="1" x14ac:dyDescent="0.5">
      <c r="A17" s="32"/>
      <c r="B17" s="33"/>
      <c r="C17" s="33"/>
      <c r="D17" s="33"/>
      <c r="E17" s="48"/>
      <c r="F17" s="34"/>
      <c r="G17" s="34"/>
      <c r="H17" s="47"/>
      <c r="I17" s="33"/>
    </row>
    <row r="18" spans="1:11" x14ac:dyDescent="0.45">
      <c r="A18" s="20" t="s">
        <v>10</v>
      </c>
      <c r="B18" s="3" t="s">
        <v>11</v>
      </c>
      <c r="C18" s="3" t="s">
        <v>12</v>
      </c>
      <c r="D18" s="3" t="s">
        <v>91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" thickBot="1" x14ac:dyDescent="0.5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 x14ac:dyDescent="0.45">
      <c r="A20" s="5"/>
      <c r="B20" s="146">
        <v>0</v>
      </c>
      <c r="C20" s="7">
        <v>750</v>
      </c>
      <c r="D20" s="146">
        <v>0</v>
      </c>
      <c r="E20" s="146">
        <v>0</v>
      </c>
      <c r="F20" s="46"/>
      <c r="G20" s="46"/>
      <c r="H20" s="46"/>
      <c r="I20" s="35">
        <f>+B20+C20+D20+E20</f>
        <v>750</v>
      </c>
      <c r="J20" s="46"/>
      <c r="K20" s="51"/>
    </row>
    <row r="21" spans="1:11" ht="18" thickBot="1" x14ac:dyDescent="0.5">
      <c r="A21" s="22"/>
      <c r="B21" s="22"/>
      <c r="C21" s="34"/>
      <c r="D21" s="34"/>
      <c r="E21" s="34"/>
      <c r="I21" s="33"/>
    </row>
    <row r="22" spans="1:11" x14ac:dyDescent="0.45">
      <c r="A22" s="20" t="s">
        <v>13</v>
      </c>
      <c r="B22" s="3" t="s">
        <v>90</v>
      </c>
      <c r="C22" s="55" t="s">
        <v>89</v>
      </c>
      <c r="D22" s="3" t="s">
        <v>88</v>
      </c>
      <c r="E22" s="19" t="s">
        <v>86</v>
      </c>
      <c r="F22" s="39"/>
      <c r="G22" s="44"/>
      <c r="I22" s="3" t="s">
        <v>28</v>
      </c>
      <c r="K22" s="44"/>
    </row>
    <row r="23" spans="1:11" ht="18" thickBot="1" x14ac:dyDescent="0.5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87</v>
      </c>
      <c r="F23" s="60"/>
      <c r="G23" s="45"/>
      <c r="I23" s="2" t="s">
        <v>27</v>
      </c>
      <c r="K23" s="44"/>
    </row>
    <row r="24" spans="1:11" ht="20.399999999999999" x14ac:dyDescent="0.55000000000000004">
      <c r="A24" s="30"/>
      <c r="B24" s="148">
        <f>I16+'68-Nov'!B24</f>
        <v>111925</v>
      </c>
      <c r="C24" s="35">
        <f>C20+'68-Nov'!C24</f>
        <v>9000</v>
      </c>
      <c r="D24" s="36">
        <f>B20+'68-Nov'!D24</f>
        <v>0</v>
      </c>
      <c r="E24" s="54"/>
      <c r="F24" s="61"/>
      <c r="I24" s="65">
        <f>I16-I20</f>
        <v>21558</v>
      </c>
      <c r="K24" s="52"/>
    </row>
    <row r="25" spans="1:11" ht="18" thickBot="1" x14ac:dyDescent="0.5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7.399999999999999" x14ac:dyDescent="0.45"/>
  <cols>
    <col min="1" max="1" width="9.3984375" style="1" customWidth="1"/>
    <col min="2" max="2" width="10.59765625" style="1" customWidth="1"/>
    <col min="3" max="4" width="12.3984375" style="1" customWidth="1"/>
    <col min="5" max="5" width="10.59765625" style="1" customWidth="1"/>
    <col min="6" max="6" width="7.8984375" style="1" customWidth="1"/>
    <col min="7" max="7" width="6.8984375" style="1" customWidth="1"/>
    <col min="8" max="8" width="6.3984375" style="1" customWidth="1"/>
    <col min="9" max="9" width="6.8984375" style="1" customWidth="1"/>
    <col min="10" max="10" width="11.59765625" style="1" customWidth="1"/>
    <col min="11" max="11" width="8.3984375" style="1" customWidth="1"/>
    <col min="12" max="12" width="10.09765625" style="1" customWidth="1"/>
    <col min="13" max="13" width="0.69921875" style="1" customWidth="1"/>
    <col min="14" max="14" width="15.09765625" style="1" customWidth="1"/>
    <col min="15" max="15" width="10.3984375" style="1" customWidth="1"/>
    <col min="16" max="16384" width="9" style="1"/>
  </cols>
  <sheetData>
    <row r="1" spans="1:14" x14ac:dyDescent="0.45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 x14ac:dyDescent="0.45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 x14ac:dyDescent="0.45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 x14ac:dyDescent="0.45"/>
    <row r="14" spans="1:14" x14ac:dyDescent="0.45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topLeftCell="A13" workbookViewId="0">
      <selection activeCell="L23" sqref="L23"/>
    </sheetView>
  </sheetViews>
  <sheetFormatPr defaultColWidth="9" defaultRowHeight="17.399999999999999" x14ac:dyDescent="0.25"/>
  <cols>
    <col min="1" max="1" width="7.3984375" style="74" customWidth="1"/>
    <col min="2" max="2" width="13" style="74" customWidth="1"/>
    <col min="3" max="3" width="8.8984375" style="74" customWidth="1"/>
    <col min="4" max="4" width="9.09765625" style="74" customWidth="1"/>
    <col min="5" max="5" width="10.3984375" style="74" customWidth="1"/>
    <col min="6" max="6" width="9.3984375" style="74" customWidth="1"/>
    <col min="7" max="7" width="9.09765625" style="74" customWidth="1"/>
    <col min="8" max="8" width="9.3984375" style="74" customWidth="1"/>
    <col min="9" max="9" width="4.8984375" style="74" customWidth="1"/>
    <col min="10" max="10" width="8" style="74" customWidth="1"/>
    <col min="11" max="11" width="7.09765625" style="74" customWidth="1"/>
    <col min="12" max="12" width="9.3984375" style="74" customWidth="1"/>
    <col min="13" max="13" width="10" style="74" customWidth="1"/>
    <col min="14" max="14" width="6.3984375" style="74" customWidth="1"/>
    <col min="15" max="15" width="13.69921875" style="74" customWidth="1"/>
    <col min="16" max="16384" width="9" style="74"/>
  </cols>
  <sheetData>
    <row r="1" spans="1:15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 x14ac:dyDescent="0.25">
      <c r="A2" s="155" t="s">
        <v>93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" thickBot="1" x14ac:dyDescent="0.3">
      <c r="A3" s="155" t="s">
        <v>69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0.399999999999999" x14ac:dyDescent="0.25">
      <c r="A4" s="75" t="s">
        <v>1</v>
      </c>
      <c r="B4" s="76"/>
      <c r="C4" s="139" t="s">
        <v>118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" thickBot="1" x14ac:dyDescent="0.3">
      <c r="A5" s="134" t="s">
        <v>2</v>
      </c>
      <c r="B5" s="135"/>
      <c r="C5" s="141" t="s">
        <v>119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" thickBot="1" x14ac:dyDescent="0.3">
      <c r="A6" s="82" t="s">
        <v>92</v>
      </c>
      <c r="B6" s="136"/>
      <c r="C6" s="150" t="s">
        <v>120</v>
      </c>
      <c r="D6" s="150" t="s">
        <v>121</v>
      </c>
      <c r="E6" s="132"/>
      <c r="F6" s="79"/>
      <c r="G6" s="79"/>
      <c r="H6" s="79"/>
      <c r="I6" s="80"/>
      <c r="J6" s="80"/>
      <c r="L6" s="81"/>
    </row>
    <row r="7" spans="1:15" ht="21" thickBot="1" x14ac:dyDescent="0.3">
      <c r="A7" s="137" t="s">
        <v>24</v>
      </c>
      <c r="B7" s="138"/>
      <c r="C7" s="131" t="s">
        <v>107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" thickBot="1" x14ac:dyDescent="0.3">
      <c r="A8" s="82" t="s">
        <v>29</v>
      </c>
      <c r="B8" s="83"/>
      <c r="C8" s="123" t="s">
        <v>106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" thickBot="1" x14ac:dyDescent="0.3">
      <c r="A9" s="137" t="s">
        <v>32</v>
      </c>
      <c r="B9" s="138"/>
      <c r="C9" s="128" t="s">
        <v>107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" thickBot="1" x14ac:dyDescent="0.3">
      <c r="A10" s="86" t="s">
        <v>105</v>
      </c>
      <c r="B10" s="87"/>
      <c r="C10" s="149" t="s">
        <v>122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" thickBot="1" x14ac:dyDescent="0.3"/>
    <row r="12" spans="1:15" ht="18" thickTop="1" x14ac:dyDescent="0.25">
      <c r="A12" s="88" t="s">
        <v>42</v>
      </c>
      <c r="B12" s="89" t="s">
        <v>4</v>
      </c>
      <c r="C12" s="90" t="s">
        <v>5</v>
      </c>
      <c r="D12" s="90" t="s">
        <v>85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94</v>
      </c>
      <c r="N12" s="157"/>
      <c r="O12" s="93" t="s">
        <v>49</v>
      </c>
    </row>
    <row r="13" spans="1:15" ht="18" thickBot="1" x14ac:dyDescent="0.3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 x14ac:dyDescent="0.25">
      <c r="A14" s="104" t="s">
        <v>70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 x14ac:dyDescent="0.25">
      <c r="A15" s="41" t="s">
        <v>55</v>
      </c>
      <c r="B15" s="110">
        <f>'68-jan'!B16</f>
        <v>0</v>
      </c>
      <c r="C15" s="110">
        <f>'68-jan'!C16</f>
        <v>0</v>
      </c>
      <c r="D15" s="110">
        <f>'68-jan'!D16</f>
        <v>0</v>
      </c>
      <c r="E15" s="110">
        <f>'68-jan'!E16</f>
        <v>0</v>
      </c>
      <c r="F15" s="110">
        <f>'68-jan'!F16</f>
        <v>0</v>
      </c>
      <c r="G15" s="110">
        <f>'68-jan'!G16</f>
        <v>0</v>
      </c>
      <c r="H15" s="107">
        <f t="shared" ref="H15:H26" si="0">SUM(B15:G15)</f>
        <v>0</v>
      </c>
      <c r="I15" s="41" t="s">
        <v>62</v>
      </c>
      <c r="J15" s="111">
        <f t="shared" ref="J15:J25" si="1">(15000)*I15</f>
        <v>750</v>
      </c>
      <c r="K15" s="111">
        <f>+-SUM(0)*3%</f>
        <v>0</v>
      </c>
      <c r="L15" s="111">
        <f>H15-J15</f>
        <v>-750</v>
      </c>
      <c r="M15" s="107">
        <f>L15</f>
        <v>-750</v>
      </c>
      <c r="N15" s="41" t="s">
        <v>71</v>
      </c>
      <c r="O15" s="107"/>
    </row>
    <row r="16" spans="1:15" x14ac:dyDescent="0.25">
      <c r="A16" s="112" t="s">
        <v>56</v>
      </c>
      <c r="B16" s="110">
        <f>'68-Feb'!B16</f>
        <v>0</v>
      </c>
      <c r="C16" s="110">
        <f>'68-Feb'!C16</f>
        <v>0</v>
      </c>
      <c r="D16" s="110">
        <f>'68-Feb'!D16</f>
        <v>0</v>
      </c>
      <c r="E16" s="110">
        <f>'68-Feb'!E16</f>
        <v>0</v>
      </c>
      <c r="F16" s="110">
        <f>'68-Feb'!F16</f>
        <v>0</v>
      </c>
      <c r="G16" s="110">
        <f>'68-Feb'!G16</f>
        <v>0</v>
      </c>
      <c r="H16" s="107">
        <f>SUM(B16:G16)</f>
        <v>0</v>
      </c>
      <c r="I16" s="41" t="s">
        <v>62</v>
      </c>
      <c r="J16" s="111">
        <f t="shared" si="1"/>
        <v>750</v>
      </c>
      <c r="K16" s="111">
        <f t="shared" ref="K16:K26" si="2">+-SUM(0)*3%</f>
        <v>0</v>
      </c>
      <c r="L16" s="111">
        <f t="shared" ref="L16:L25" si="3">H16-J16</f>
        <v>-750</v>
      </c>
      <c r="M16" s="107">
        <f t="shared" ref="M16:M26" si="4">L16</f>
        <v>-750</v>
      </c>
      <c r="N16" s="41" t="s">
        <v>72</v>
      </c>
      <c r="O16" s="107"/>
    </row>
    <row r="17" spans="1:15" x14ac:dyDescent="0.25">
      <c r="A17" s="112" t="s">
        <v>57</v>
      </c>
      <c r="B17" s="110">
        <f>'68-Mar'!B16</f>
        <v>0</v>
      </c>
      <c r="C17" s="110">
        <f>'68-Mar'!C16</f>
        <v>0</v>
      </c>
      <c r="D17" s="110">
        <f>'68-Mar'!D16</f>
        <v>0</v>
      </c>
      <c r="E17" s="110">
        <f>'68-Mar'!E16</f>
        <v>0</v>
      </c>
      <c r="F17" s="110">
        <f>'68-Mar'!F16</f>
        <v>0</v>
      </c>
      <c r="G17" s="110">
        <f>'68-Mar'!G16</f>
        <v>0</v>
      </c>
      <c r="H17" s="107">
        <f t="shared" si="0"/>
        <v>0</v>
      </c>
      <c r="I17" s="41" t="s">
        <v>62</v>
      </c>
      <c r="J17" s="111">
        <f t="shared" si="1"/>
        <v>750</v>
      </c>
      <c r="K17" s="111">
        <f t="shared" si="2"/>
        <v>0</v>
      </c>
      <c r="L17" s="111">
        <f t="shared" si="3"/>
        <v>-750</v>
      </c>
      <c r="M17" s="107">
        <f t="shared" si="4"/>
        <v>-750</v>
      </c>
      <c r="N17" s="41" t="s">
        <v>73</v>
      </c>
      <c r="O17" s="107"/>
    </row>
    <row r="18" spans="1:15" x14ac:dyDescent="0.25">
      <c r="A18" s="112" t="s">
        <v>58</v>
      </c>
      <c r="B18" s="110">
        <f>'68-Apr'!B16</f>
        <v>0</v>
      </c>
      <c r="C18" s="110">
        <f>'68-Apr'!C16</f>
        <v>0</v>
      </c>
      <c r="D18" s="110">
        <f>'68-Apr'!D16</f>
        <v>0</v>
      </c>
      <c r="E18" s="110">
        <f>'68-Apr'!E16</f>
        <v>0</v>
      </c>
      <c r="F18" s="110">
        <f>'68-Apr'!F16</f>
        <v>0</v>
      </c>
      <c r="G18" s="110">
        <f>'68-Apr'!G16</f>
        <v>0</v>
      </c>
      <c r="H18" s="107">
        <f t="shared" si="0"/>
        <v>0</v>
      </c>
      <c r="I18" s="41" t="s">
        <v>62</v>
      </c>
      <c r="J18" s="111">
        <f t="shared" si="1"/>
        <v>750</v>
      </c>
      <c r="K18" s="111">
        <f t="shared" si="2"/>
        <v>0</v>
      </c>
      <c r="L18" s="111">
        <f t="shared" si="3"/>
        <v>-750</v>
      </c>
      <c r="M18" s="107">
        <f t="shared" si="4"/>
        <v>-750</v>
      </c>
      <c r="N18" s="41" t="s">
        <v>108</v>
      </c>
      <c r="O18" s="107"/>
    </row>
    <row r="19" spans="1:15" x14ac:dyDescent="0.25">
      <c r="A19" s="112" t="s">
        <v>59</v>
      </c>
      <c r="B19" s="110">
        <f>'68-May'!B16</f>
        <v>0</v>
      </c>
      <c r="C19" s="110">
        <f>'68-May'!C16</f>
        <v>0</v>
      </c>
      <c r="D19" s="110">
        <f>'68-May'!D16</f>
        <v>0</v>
      </c>
      <c r="E19" s="110">
        <f>'68-May'!E16</f>
        <v>0</v>
      </c>
      <c r="F19" s="110">
        <f>'68-May'!F16</f>
        <v>0</v>
      </c>
      <c r="G19" s="110">
        <f>'68-May'!G16</f>
        <v>0</v>
      </c>
      <c r="H19" s="107">
        <f t="shared" si="0"/>
        <v>0</v>
      </c>
      <c r="I19" s="41" t="s">
        <v>62</v>
      </c>
      <c r="J19" s="111">
        <f t="shared" si="1"/>
        <v>750</v>
      </c>
      <c r="K19" s="111">
        <f t="shared" si="2"/>
        <v>0</v>
      </c>
      <c r="L19" s="111">
        <f t="shared" si="3"/>
        <v>-750</v>
      </c>
      <c r="M19" s="107">
        <f t="shared" si="4"/>
        <v>-750</v>
      </c>
      <c r="N19" s="41" t="s">
        <v>109</v>
      </c>
      <c r="O19" s="107"/>
    </row>
    <row r="20" spans="1:15" x14ac:dyDescent="0.25">
      <c r="A20" s="112" t="s">
        <v>60</v>
      </c>
      <c r="B20" s="110">
        <f>'68-Jun'!B16</f>
        <v>0</v>
      </c>
      <c r="C20" s="110">
        <f>'68-Jun'!C16</f>
        <v>0</v>
      </c>
      <c r="D20" s="110">
        <f>'68-Jun'!D16</f>
        <v>0</v>
      </c>
      <c r="E20" s="110">
        <f>'68-Jun'!E16</f>
        <v>0</v>
      </c>
      <c r="F20" s="110">
        <f>'68-Jun'!F16</f>
        <v>0</v>
      </c>
      <c r="G20" s="110">
        <f>'68-Jun'!G16</f>
        <v>0</v>
      </c>
      <c r="H20" s="107">
        <f t="shared" si="0"/>
        <v>0</v>
      </c>
      <c r="I20" s="41" t="s">
        <v>62</v>
      </c>
      <c r="J20" s="111">
        <f t="shared" si="1"/>
        <v>750</v>
      </c>
      <c r="K20" s="111">
        <f t="shared" si="2"/>
        <v>0</v>
      </c>
      <c r="L20" s="111">
        <f t="shared" si="3"/>
        <v>-750</v>
      </c>
      <c r="M20" s="107">
        <f t="shared" si="4"/>
        <v>-750</v>
      </c>
      <c r="N20" s="41" t="s">
        <v>110</v>
      </c>
      <c r="O20" s="107"/>
    </row>
    <row r="21" spans="1:15" x14ac:dyDescent="0.25">
      <c r="A21" s="112" t="s">
        <v>61</v>
      </c>
      <c r="B21" s="110">
        <f>'68-Jul'!B16</f>
        <v>0</v>
      </c>
      <c r="C21" s="110">
        <f>'68-Jul'!C16</f>
        <v>0</v>
      </c>
      <c r="D21" s="110">
        <f>'68-Jul'!D16</f>
        <v>0</v>
      </c>
      <c r="E21" s="110">
        <f>'68-Jul'!E16</f>
        <v>0</v>
      </c>
      <c r="F21" s="110">
        <f>'68-Jul'!F16</f>
        <v>0</v>
      </c>
      <c r="G21" s="110">
        <f>'68-Jul'!G16</f>
        <v>0</v>
      </c>
      <c r="H21" s="107">
        <f t="shared" si="0"/>
        <v>0</v>
      </c>
      <c r="I21" s="41" t="s">
        <v>62</v>
      </c>
      <c r="J21" s="111">
        <f t="shared" si="1"/>
        <v>750</v>
      </c>
      <c r="K21" s="111">
        <f t="shared" si="2"/>
        <v>0</v>
      </c>
      <c r="L21" s="111">
        <f t="shared" si="3"/>
        <v>-750</v>
      </c>
      <c r="M21" s="107">
        <f t="shared" si="4"/>
        <v>-750</v>
      </c>
      <c r="N21" s="41" t="s">
        <v>111</v>
      </c>
      <c r="O21" s="107"/>
    </row>
    <row r="22" spans="1:15" x14ac:dyDescent="0.25">
      <c r="A22" s="112" t="s">
        <v>63</v>
      </c>
      <c r="B22" s="110">
        <f>'68-Aug'!B16</f>
        <v>22080</v>
      </c>
      <c r="C22" s="110">
        <f>'68-Aug'!C16</f>
        <v>0</v>
      </c>
      <c r="D22" s="110">
        <f>'68-Aug'!D16</f>
        <v>0</v>
      </c>
      <c r="E22" s="110">
        <f>'68-Aug'!E16</f>
        <v>0</v>
      </c>
      <c r="F22" s="110">
        <f>'68-Aug'!F16</f>
        <v>0</v>
      </c>
      <c r="G22" s="110">
        <f>'68-Aug'!G16</f>
        <v>0</v>
      </c>
      <c r="H22" s="107">
        <f t="shared" si="0"/>
        <v>22080</v>
      </c>
      <c r="I22" s="41" t="s">
        <v>62</v>
      </c>
      <c r="J22" s="111">
        <f t="shared" si="1"/>
        <v>750</v>
      </c>
      <c r="K22" s="111">
        <f t="shared" si="2"/>
        <v>0</v>
      </c>
      <c r="L22" s="111">
        <f t="shared" si="3"/>
        <v>21330</v>
      </c>
      <c r="M22" s="107">
        <f t="shared" si="4"/>
        <v>21330</v>
      </c>
      <c r="N22" s="41" t="s">
        <v>112</v>
      </c>
      <c r="O22" s="107"/>
    </row>
    <row r="23" spans="1:15" x14ac:dyDescent="0.25">
      <c r="A23" s="112" t="s">
        <v>64</v>
      </c>
      <c r="B23" s="110">
        <f>'68-Sep'!B16</f>
        <v>21950</v>
      </c>
      <c r="C23" s="110">
        <f>'68-Sep'!C16</f>
        <v>0</v>
      </c>
      <c r="D23" s="110">
        <f>'68-Sep'!D16</f>
        <v>0</v>
      </c>
      <c r="E23" s="110">
        <f>'68-Sep'!E16</f>
        <v>0</v>
      </c>
      <c r="F23" s="110">
        <f>'68-Sep'!F16</f>
        <v>0</v>
      </c>
      <c r="G23" s="110">
        <f>'68-Sep'!G16</f>
        <v>0</v>
      </c>
      <c r="H23" s="107">
        <f t="shared" si="0"/>
        <v>21950</v>
      </c>
      <c r="I23" s="41" t="s">
        <v>62</v>
      </c>
      <c r="J23" s="111">
        <f t="shared" si="1"/>
        <v>750</v>
      </c>
      <c r="K23" s="111">
        <f t="shared" si="2"/>
        <v>0</v>
      </c>
      <c r="L23" s="111">
        <f t="shared" si="3"/>
        <v>21200</v>
      </c>
      <c r="M23" s="107">
        <f t="shared" si="4"/>
        <v>21200</v>
      </c>
      <c r="N23" s="41" t="s">
        <v>113</v>
      </c>
      <c r="O23" s="107"/>
    </row>
    <row r="24" spans="1:15" x14ac:dyDescent="0.25">
      <c r="A24" s="112" t="s">
        <v>65</v>
      </c>
      <c r="B24" s="110">
        <f>'68-Oct'!B16</f>
        <v>22287</v>
      </c>
      <c r="C24" s="110">
        <f>'68-Oct'!C16</f>
        <v>0</v>
      </c>
      <c r="D24" s="110">
        <f>'68-Oct'!D16</f>
        <v>0</v>
      </c>
      <c r="E24" s="110">
        <f>'68-Oct'!E16</f>
        <v>0</v>
      </c>
      <c r="F24" s="110">
        <f>'68-Oct'!F16</f>
        <v>0</v>
      </c>
      <c r="G24" s="110">
        <f>'68-Oct'!G16</f>
        <v>0</v>
      </c>
      <c r="H24" s="107">
        <f t="shared" si="0"/>
        <v>22287</v>
      </c>
      <c r="I24" s="41" t="s">
        <v>62</v>
      </c>
      <c r="J24" s="111">
        <f t="shared" si="1"/>
        <v>750</v>
      </c>
      <c r="K24" s="111">
        <f t="shared" si="2"/>
        <v>0</v>
      </c>
      <c r="L24" s="111">
        <f t="shared" si="3"/>
        <v>21537</v>
      </c>
      <c r="M24" s="107">
        <f t="shared" si="4"/>
        <v>21537</v>
      </c>
      <c r="N24" s="41" t="s">
        <v>114</v>
      </c>
      <c r="O24" s="107"/>
    </row>
    <row r="25" spans="1:15" x14ac:dyDescent="0.25">
      <c r="A25" s="112" t="s">
        <v>66</v>
      </c>
      <c r="B25" s="110">
        <f>'68-Nov'!B16</f>
        <v>23300</v>
      </c>
      <c r="C25" s="110">
        <f>'68-Nov'!C16</f>
        <v>0</v>
      </c>
      <c r="D25" s="110">
        <f>'68-Nov'!D16</f>
        <v>0</v>
      </c>
      <c r="E25" s="110">
        <f>'68-Nov'!E16</f>
        <v>0</v>
      </c>
      <c r="F25" s="110">
        <f>'68-Nov'!F16</f>
        <v>0</v>
      </c>
      <c r="G25" s="110">
        <f>'68-Nov'!G16</f>
        <v>0</v>
      </c>
      <c r="H25" s="107">
        <f t="shared" si="0"/>
        <v>23300</v>
      </c>
      <c r="I25" s="41" t="s">
        <v>62</v>
      </c>
      <c r="J25" s="111">
        <f t="shared" si="1"/>
        <v>750</v>
      </c>
      <c r="K25" s="111">
        <f t="shared" si="2"/>
        <v>0</v>
      </c>
      <c r="L25" s="111">
        <f t="shared" si="3"/>
        <v>22550</v>
      </c>
      <c r="M25" s="107">
        <f t="shared" si="4"/>
        <v>22550</v>
      </c>
      <c r="N25" s="41" t="s">
        <v>115</v>
      </c>
      <c r="O25" s="107"/>
    </row>
    <row r="26" spans="1:15" x14ac:dyDescent="0.25">
      <c r="A26" s="112" t="s">
        <v>67</v>
      </c>
      <c r="B26" s="110">
        <f>'68-Dec'!B16</f>
        <v>22308</v>
      </c>
      <c r="C26" s="110">
        <f>'68-Dec'!C16</f>
        <v>0</v>
      </c>
      <c r="D26" s="110">
        <f>'68-Dec'!D16</f>
        <v>0</v>
      </c>
      <c r="E26" s="110">
        <f>'68-Dec'!E16</f>
        <v>0</v>
      </c>
      <c r="F26" s="110">
        <f>'68-Dec'!F16</f>
        <v>0</v>
      </c>
      <c r="G26" s="110">
        <f>'68-Dec'!G16</f>
        <v>0</v>
      </c>
      <c r="H26" s="107">
        <f t="shared" si="0"/>
        <v>22308</v>
      </c>
      <c r="I26" s="41" t="s">
        <v>62</v>
      </c>
      <c r="J26" s="111">
        <f>(15000)*I26</f>
        <v>750</v>
      </c>
      <c r="K26" s="111">
        <f t="shared" si="2"/>
        <v>0</v>
      </c>
      <c r="L26" s="111">
        <f>H26-J26</f>
        <v>21558</v>
      </c>
      <c r="M26" s="107">
        <f t="shared" si="4"/>
        <v>21558</v>
      </c>
      <c r="N26" s="41" t="s">
        <v>116</v>
      </c>
      <c r="O26" s="107"/>
    </row>
    <row r="27" spans="1:15" ht="18" thickBot="1" x14ac:dyDescent="0.3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" thickBot="1" x14ac:dyDescent="0.3">
      <c r="A28" s="118" t="s">
        <v>68</v>
      </c>
      <c r="B28" s="119">
        <f t="shared" ref="B28:H28" si="5">SUM(B15:B27)</f>
        <v>111925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111925</v>
      </c>
      <c r="I28" s="120"/>
      <c r="J28" s="120">
        <f>SUM(J15:J27)</f>
        <v>9000</v>
      </c>
      <c r="K28" s="120">
        <f>SUM(K15:K27)</f>
        <v>0</v>
      </c>
      <c r="L28" s="119">
        <f>SUM(L15:L27)</f>
        <v>102925</v>
      </c>
      <c r="M28" s="121">
        <f>SUM(M15:M27)</f>
        <v>102925</v>
      </c>
      <c r="N28" s="122"/>
      <c r="O28" s="121"/>
    </row>
    <row r="29" spans="1:15" ht="18" thickTop="1" x14ac:dyDescent="0.25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68-jan</vt:lpstr>
      <vt:lpstr>68-Feb</vt:lpstr>
      <vt:lpstr>68-Mar</vt:lpstr>
      <vt:lpstr>68-Apr</vt:lpstr>
      <vt:lpstr>68-May</vt:lpstr>
      <vt:lpstr>68-Jun</vt:lpstr>
      <vt:lpstr>68-Jul</vt:lpstr>
      <vt:lpstr>68-Aug</vt:lpstr>
      <vt:lpstr>68-Sep</vt:lpstr>
      <vt:lpstr>68-Oct</vt:lpstr>
      <vt:lpstr>68-Nov</vt:lpstr>
      <vt:lpstr>68-Dec</vt:lpstr>
      <vt:lpstr>ด้านหลัง</vt:lpstr>
      <vt:lpstr>ใบสรุป-68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Windows10 Pro</cp:lastModifiedBy>
  <cp:lastPrinted>2025-09-30T04:57:19Z</cp:lastPrinted>
  <dcterms:created xsi:type="dcterms:W3CDTF">2009-03-01T02:58:04Z</dcterms:created>
  <dcterms:modified xsi:type="dcterms:W3CDTF">2026-01-07T01:59:58Z</dcterms:modified>
</cp:coreProperties>
</file>