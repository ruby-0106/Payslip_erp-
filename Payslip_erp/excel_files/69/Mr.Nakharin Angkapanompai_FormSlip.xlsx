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8-งานน้องเวฟ\สลิปเงินเดือน\69 - Version 1\"/>
    </mc:Choice>
  </mc:AlternateContent>
  <xr:revisionPtr revIDLastSave="0" documentId="13_ncr:1_{53FDA063-8985-46D5-950F-48DBBADA089A}" xr6:coauthVersionLast="47" xr6:coauthVersionMax="47" xr10:uidLastSave="{00000000-0000-0000-0000-000000000000}"/>
  <bookViews>
    <workbookView xWindow="-120" yWindow="-120" windowWidth="15600" windowHeight="11160" tabRatio="601" firstSheet="8" activeTab="13" xr2:uid="{741EA368-B2A2-404E-8A64-13EE997C4056}"/>
  </bookViews>
  <sheets>
    <sheet name="69-jan" sheetId="28" r:id="rId1"/>
    <sheet name="69-Feb" sheetId="50" r:id="rId2"/>
    <sheet name="69-Mar" sheetId="51" r:id="rId3"/>
    <sheet name="69-Apr" sheetId="52" r:id="rId4"/>
    <sheet name="69-May" sheetId="53" r:id="rId5"/>
    <sheet name="69-Jun" sheetId="54" r:id="rId6"/>
    <sheet name="69-Jul" sheetId="55" r:id="rId7"/>
    <sheet name="69-Aug" sheetId="56" r:id="rId8"/>
    <sheet name="69-Sep" sheetId="57" r:id="rId9"/>
    <sheet name="69-Oct" sheetId="58" r:id="rId10"/>
    <sheet name="69-Nov" sheetId="59" r:id="rId11"/>
    <sheet name="69-Dec" sheetId="60" r:id="rId12"/>
    <sheet name="ด้านหลัง" sheetId="32" r:id="rId13"/>
    <sheet name="ใบสรุป-69" sheetId="4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44" l="1"/>
  <c r="J17" i="44"/>
  <c r="J18" i="44"/>
  <c r="J19" i="44"/>
  <c r="J20" i="44"/>
  <c r="J21" i="44"/>
  <c r="J22" i="44"/>
  <c r="J23" i="44"/>
  <c r="J24" i="44"/>
  <c r="J25" i="44"/>
  <c r="J26" i="44"/>
  <c r="J15" i="44"/>
  <c r="D24" i="54"/>
  <c r="I16" i="60"/>
  <c r="D24" i="55"/>
  <c r="D24" i="56" s="1"/>
  <c r="D24" i="57" s="1"/>
  <c r="D24" i="58" s="1"/>
  <c r="D24" i="59" s="1"/>
  <c r="D24" i="60" s="1"/>
  <c r="D24" i="53"/>
  <c r="D24" i="52"/>
  <c r="D24" i="51"/>
  <c r="D24" i="50"/>
  <c r="C24" i="28"/>
  <c r="C24" i="50" s="1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I16" i="50"/>
  <c r="I24" i="50" s="1"/>
  <c r="F8" i="28"/>
  <c r="F7" i="28"/>
  <c r="I20" i="60"/>
  <c r="I20" i="59"/>
  <c r="I16" i="59"/>
  <c r="I20" i="58"/>
  <c r="I16" i="58"/>
  <c r="I24" i="58" s="1"/>
  <c r="I20" i="57"/>
  <c r="I16" i="57"/>
  <c r="I20" i="56"/>
  <c r="I16" i="56"/>
  <c r="I24" i="56" s="1"/>
  <c r="I20" i="55"/>
  <c r="I16" i="55"/>
  <c r="I20" i="54"/>
  <c r="I16" i="54"/>
  <c r="I24" i="54" s="1"/>
  <c r="I20" i="53"/>
  <c r="I16" i="53"/>
  <c r="I20" i="52"/>
  <c r="I16" i="52"/>
  <c r="I24" i="52" s="1"/>
  <c r="I20" i="51"/>
  <c r="I16" i="5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60" l="1"/>
  <c r="I24" i="51"/>
  <c r="I24" i="53"/>
  <c r="I24" i="55"/>
  <c r="I24" i="57"/>
  <c r="I24" i="59"/>
  <c r="I24" i="28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<sst xmlns="http://schemas.openxmlformats.org/spreadsheetml/2006/main" count="722" uniqueCount="123">
  <si>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</si>
  <si>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</si>
  <si>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</si>
  <si>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</si>
  <si>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</si>
  <si>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</si>
  <si>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</si>
  <si>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</si>
  <si>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</si>
  <si>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</si>
  <si>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</si>
  <si>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</si>
  <si>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</si>
  <si>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</si>
  <si>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</si>
  <si>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</si>
  <si>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</si>
  <si>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</si>
  <si>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</si>
  <si>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</si>
  <si>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</si>
  <si>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</si>
  <si>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</si>
  <si>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</si>
  <si>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</si>
  <si>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</si>
  <si>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</si>
  <si>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</si>
  <si>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</si>
  <si>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</si>
  <si>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</si>
  <si>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</si>
  <si>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</si>
  <si>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</si>
  <si>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</si>
  <si>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</si>
  <si>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</si>
  <si>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</si>
  <si>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</si>
  <si>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</si>
  <si>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</si>
  <si>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</si>
  <si>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</si>
  <si>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</si>
  <si>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</si>
  <si>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</si>
  <si>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</si>
  <si>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</si>
  <si>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</si>
  <si>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</si>
  <si>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</si>
  <si>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</si>
  <si>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</si>
  <si>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</si>
  <si>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</si>
  <si>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</si>
  <si>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</si>
  <si>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</si>
  <si>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</si>
  <si>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</si>
  <si>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</si>
  <si>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</si>
  <si>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</si>
  <si>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</si>
  <si>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</si>
  <si>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</si>
  <si>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</si>
  <si>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</si>
  <si>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</si>
  <si>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เมษายน /April</t>
  </si>
  <si>
    <t>พฤษภาคม /May</t>
  </si>
  <si>
    <t>มิถุนายน /June</t>
  </si>
  <si>
    <t>กรกฎาคม /July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</si>
  <si>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</si>
  <si>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</si>
  <si>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</si>
  <si>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</si>
  <si>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</si>
  <si>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</si>
  <si>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</si>
  <si>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</si>
  <si>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</si>
  <si>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</si>
  <si>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</si>
  <si>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</si>
  <si>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กันยายน /September</t>
  </si>
  <si>
    <t>ตุลาคม /October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</si>
  <si>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</si>
  <si>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</si>
  <si>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</si>
  <si>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</si>
  <si>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</si>
  <si>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Mr.Nakharin Angkapanompai</t>
  </si>
  <si>
    <t>นายนครินทร์ อังคะพนมไพร</t>
  </si>
  <si>
    <t>650321</t>
  </si>
  <si>
    <t>1209000128664</t>
  </si>
  <si>
    <t>21/03/2565</t>
  </si>
  <si>
    <t>ประจำปี  2569</t>
  </si>
  <si>
    <t>2569</t>
  </si>
  <si>
    <t>01/02/69</t>
  </si>
  <si>
    <t>01/03/69</t>
  </si>
  <si>
    <t>01/04/69</t>
  </si>
  <si>
    <t>01/05/69</t>
  </si>
  <si>
    <t>01/06/69</t>
  </si>
  <si>
    <t>01/07/69</t>
  </si>
  <si>
    <t>01/08/69</t>
  </si>
  <si>
    <t>01/09/69</t>
  </si>
  <si>
    <t>01/10/69</t>
  </si>
  <si>
    <t>01/11/69</t>
  </si>
  <si>
    <t>01/12/69</t>
  </si>
  <si>
    <t>01/01/70</t>
  </si>
  <si>
    <t>01/02/2569</t>
  </si>
  <si>
    <t>01/03/2569</t>
  </si>
  <si>
    <t>01/04/2569</t>
  </si>
  <si>
    <t>01/05/2569</t>
  </si>
  <si>
    <t>01/06/2569</t>
  </si>
  <si>
    <t>01/07/2569</t>
  </si>
  <si>
    <t>01/08/2569</t>
  </si>
  <si>
    <t>01/09/2569</t>
  </si>
  <si>
    <t>01/10/2569</t>
  </si>
  <si>
    <t>01/11/2569</t>
  </si>
  <si>
    <t>01/12/2569</t>
  </si>
  <si>
    <t>01/01/2570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</si>
</sst>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3" xfId="1" applyFont="1" applyBorder="1" applyAlignment="1">
      <alignment horizontal="center"/>
    </xf>
    <xf numFmtId="164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164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164" fontId="4" fillId="0" borderId="5" xfId="1" applyFont="1" applyBorder="1"/>
    <xf numFmtId="164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164" fontId="5" fillId="0" borderId="0" xfId="1" applyFont="1" applyBorder="1"/>
    <xf numFmtId="164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4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164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43" fontId="4" fillId="0" borderId="3" xfId="1" applyNumberFormat="1" applyFont="1" applyBorder="1"/>
    <xf numFmtId="49" fontId="14" fillId="2" borderId="45" xfId="0" applyNumberFormat="1" applyFont="1" applyFill="1" applyBorder="1" applyAlignment="1">
      <alignment horizontal="left" vertical="center"/>
    </xf>
    <xf numFmtId="49" fontId="21" fillId="0" borderId="4" xfId="0" applyNumberFormat="1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4" zoomScale="120" zoomScaleNormal="12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650321</v>
      </c>
      <c r="G7" s="143" t="str">
        <f>+'ใบสรุป-69'!D6</f>
        <v>1209000128664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37</v>
      </c>
      <c r="K10" s="44"/>
    </row>
    <row r="11" spans="1:11">
      <c r="A11" s="12" t="s">
        <v>1</v>
      </c>
      <c r="B11" s="9" t="str">
        <f>+'ใบสรุป-69'!C4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</f>
        <v>0</v>
      </c>
      <c r="C24" s="6">
        <f>C20</f>
        <v>875</v>
      </c>
      <c r="D24" s="36">
        <f>B20</f>
        <v>0</v>
      </c>
      <c r="E24" s="54">
        <f>F16+G16+D20+E20</f>
        <v>0</v>
      </c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650321</v>
      </c>
      <c r="G7" s="143" t="str">
        <f>+'ใบสรุป-69'!D6</f>
        <v>1209000128664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38</v>
      </c>
      <c r="K10" s="44"/>
    </row>
    <row r="11" spans="1:11">
      <c r="A11" s="12" t="s">
        <v>1</v>
      </c>
      <c r="B11" s="9" t="str">
        <f>+'ใบสรุป-69'!C4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I16+'69-jan'!B24</f>
        <v>0</v>
      </c>
      <c r="C24" s="35">
        <f>C20+'69-jan'!C24</f>
        <v>1750</v>
      </c>
      <c r="D24" s="36">
        <f>B20+'69-jan'!D24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650321</v>
      </c>
      <c r="G7" s="143" t="str">
        <f>+'ใบสรุป-69'!D6</f>
        <v>1209000128664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113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39</v>
      </c>
      <c r="K10" s="44"/>
    </row>
    <row r="11" spans="1:11">
      <c r="A11" s="12" t="s">
        <v>1</v>
      </c>
      <c r="B11" s="9" t="str">
        <f>+'ใบสรุป-69'!C4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I16+'69-Feb'!B24</f>
        <v>0</v>
      </c>
      <c r="C24" s="35">
        <f>C20+'69-Feb'!C24</f>
        <v>2625</v>
      </c>
      <c r="D24" s="36">
        <f>B20+'69-Feb'!D24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650321</v>
      </c>
      <c r="G7" s="143" t="str">
        <f>+'ใบสรุป-69'!D6</f>
        <v>1209000128664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114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69</v>
      </c>
      <c r="K10" s="44"/>
    </row>
    <row r="11" spans="1:11">
      <c r="A11" s="12" t="s">
        <v>1</v>
      </c>
      <c r="B11" s="9" t="str">
        <f>+'ใบสรุป-69'!C4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I16+'69-Mar'!B24</f>
        <v>0</v>
      </c>
      <c r="C24" s="35">
        <f>C20+'69-Mar'!C24</f>
        <v>3500</v>
      </c>
      <c r="D24" s="36">
        <f>B20+'69-Mar'!D24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650321</v>
      </c>
      <c r="G7" s="143" t="str">
        <f>+'ใบสรุป-69'!D6</f>
        <v>1209000128664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115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70</v>
      </c>
      <c r="K10" s="44"/>
    </row>
    <row r="11" spans="1:11">
      <c r="A11" s="12" t="s">
        <v>1</v>
      </c>
      <c r="B11" s="9" t="str">
        <f>+'ใบสรุป-69'!C4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I16+'69-Apr'!B24</f>
        <v>0</v>
      </c>
      <c r="C24" s="35">
        <f>C20+'69-Apr'!C24</f>
        <v>4375</v>
      </c>
      <c r="D24" s="36">
        <f>B20+'69-Apr'!D24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650321</v>
      </c>
      <c r="G7" s="143" t="str">
        <f>+'ใบสรุป-69'!D6</f>
        <v>1209000128664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116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71</v>
      </c>
      <c r="K10" s="44"/>
    </row>
    <row r="11" spans="1:11">
      <c r="A11" s="12" t="s">
        <v>1</v>
      </c>
      <c r="B11" s="9" t="str">
        <f>+'ใบสรุป-69'!C4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I16+'69-May'!B24</f>
        <v>0</v>
      </c>
      <c r="C24" s="35">
        <f>C20+'69-May'!C24</f>
        <v>5250</v>
      </c>
      <c r="D24" s="36">
        <f>B20+'69-May'!D24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650321</v>
      </c>
      <c r="G7" s="143" t="str">
        <f>+'ใบสรุป-69'!D6</f>
        <v>1209000128664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117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72</v>
      </c>
      <c r="K10" s="44"/>
    </row>
    <row r="11" spans="1:11">
      <c r="A11" s="12" t="s">
        <v>1</v>
      </c>
      <c r="B11" s="9" t="str">
        <f>+'ใบสรุป-69'!C4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I16+'69-Jun'!B24</f>
        <v>0</v>
      </c>
      <c r="C24" s="35">
        <f>C20+'69-Jun'!C24</f>
        <v>6125</v>
      </c>
      <c r="D24" s="36">
        <f>B20+'69-Jun'!D24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650321</v>
      </c>
      <c r="G7" s="143" t="str">
        <f>+'ใบสรุป-69'!D6</f>
        <v>1209000128664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118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84</v>
      </c>
      <c r="K10" s="44"/>
    </row>
    <row r="11" spans="1:11">
      <c r="A11" s="12" t="s">
        <v>1</v>
      </c>
      <c r="B11" s="9" t="str">
        <f>+'ใบสรุป-69'!C4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I16+'69-Jul'!B24</f>
        <v>0</v>
      </c>
      <c r="C24" s="35">
        <f>C20+'69-Jul'!C24</f>
        <v>7000</v>
      </c>
      <c r="D24" s="36">
        <f>B20+'69-Jul'!D24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7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650321</v>
      </c>
      <c r="G7" s="143" t="str">
        <f>+'ใบสรุป-69'!D6</f>
        <v>1209000128664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119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85</v>
      </c>
      <c r="K10" s="44"/>
    </row>
    <row r="11" spans="1:11">
      <c r="A11" s="12" t="s">
        <v>1</v>
      </c>
      <c r="B11" s="9" t="str">
        <f>+'ใบสรุป-69'!C4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I16+'69-Aug'!B24</f>
        <v>0</v>
      </c>
      <c r="C24" s="35">
        <f>C20+'69-Aug'!C24</f>
        <v>7875</v>
      </c>
      <c r="D24" s="36">
        <f>B20+'69-Aug'!D24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zoomScale="110" zoomScaleNormal="110" workbookViewId="0">
      <selection activeCell="G12" sqref="G12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650321</v>
      </c>
      <c r="G7" s="143" t="str">
        <f>+'ใบสรุป-69'!D6</f>
        <v>1209000128664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120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86</v>
      </c>
      <c r="K10" s="44"/>
    </row>
    <row r="11" spans="1:11">
      <c r="A11" s="12" t="s">
        <v>1</v>
      </c>
      <c r="B11" s="9" t="str">
        <f>+'ใบสรุป-69'!C4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I16+'69-Sep'!B24</f>
        <v>0</v>
      </c>
      <c r="C24" s="35">
        <f>C20+'69-Sep'!C24</f>
        <v>8750</v>
      </c>
      <c r="D24" s="36">
        <f>B20+'69-Sep'!D24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3" zoomScale="110" zoomScaleNormal="110" workbookViewId="0">
      <selection activeCell="D20" sqref="D20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650321</v>
      </c>
      <c r="G7" s="143" t="str">
        <f>+'ใบสรุป-69'!D6</f>
        <v>1209000128664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121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87</v>
      </c>
      <c r="K10" s="44"/>
    </row>
    <row r="11" spans="1:11">
      <c r="A11" s="12" t="s">
        <v>1</v>
      </c>
      <c r="B11" s="9" t="str">
        <f>+'ใบสรุป-69'!C4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I16+'69-Oct'!B24</f>
        <v>0</v>
      </c>
      <c r="C24" s="35">
        <f>C20+'69-Oct'!C24</f>
        <v>9625</v>
      </c>
      <c r="D24" s="36">
        <f>B20+'69-Oct'!D24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opLeftCell="A13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650321</v>
      </c>
      <c r="G7" s="143" t="str">
        <f>+'ใบสรุป-69'!D6</f>
        <v>1209000128664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Technician</v>
      </c>
      <c r="G8" s="69"/>
      <c r="H8" s="47"/>
      <c r="I8" s="64" t="s">
        <v>122</v>
      </c>
      <c r="K8" s="50"/>
    </row>
    <row r="9" spans="1:11">
      <c r="D9" s="14" t="s">
        <v>29</v>
      </c>
      <c r="E9" s="15"/>
      <c r="F9" s="14" t="str">
        <f>+'ใบสรุป-69'!C8</f>
        <v>Factory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Technician</v>
      </c>
      <c r="G10" s="67"/>
      <c r="H10" s="47"/>
      <c r="I10" s="63" t="s">
        <v>88</v>
      </c>
      <c r="K10" s="44"/>
    </row>
    <row r="11" spans="1:11">
      <c r="A11" s="12" t="s">
        <v>1</v>
      </c>
      <c r="B11" s="9" t="str">
        <f>+'ใบสรุป-69'!C4</f>
        <v>Mr.Nakharin Angkapanompai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นายนครินทร์ อังคะพนมไพร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I16+'69-Nov'!B24</f>
        <v>0</v>
      </c>
      <c r="C24" s="35">
        <f>C20+'69-Nov'!C24</f>
        <v>10500</v>
      </c>
      <c r="D24" s="36">
        <f>B20+'69-Nov'!D24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8"/>
  <cols>
    <col min="1" max="1" width="9.42578125" style="1" customWidth="1"/>
    <col min="2" max="2" width="10.5703125" style="1" customWidth="1"/>
    <col min="3" max="4" width="12.42578125" style="1" customWidth="1"/>
    <col min="5" max="5" width="10.5703125" style="1" customWidth="1"/>
    <col min="6" max="6" width="7.85546875" style="1" customWidth="1"/>
    <col min="7" max="7" width="6.85546875" style="1" customWidth="1"/>
    <col min="8" max="8" width="6.42578125" style="1" customWidth="1"/>
    <col min="9" max="9" width="6.85546875" style="1" customWidth="1"/>
    <col min="10" max="10" width="11.5703125" style="1" customWidth="1"/>
    <col min="11" max="11" width="8.42578125" style="1" customWidth="1"/>
    <col min="12" max="12" width="10.140625" style="1" customWidth="1"/>
    <col min="13" max="13" width="0.7109375" style="1" customWidth="1"/>
    <col min="14" max="14" width="15.140625" style="1" customWidth="1"/>
    <col min="15" max="15" width="10.42578125" style="1" customWidth="1"/>
    <col min="16" max="16384" width="9" style="1"/>
  </cols>
  <sheetData>
    <row r="1" spans="1:14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/>
    <row r="14" spans="1:14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abSelected="1" workbookViewId="0">
      <selection activeCell="G18" sqref="G18"/>
    </sheetView>
  </sheetViews>
  <sheetFormatPr defaultColWidth="9" defaultRowHeight="18"/>
  <cols>
    <col min="1" max="1" width="7.42578125" style="74" customWidth="1"/>
    <col min="2" max="2" width="13" style="74" customWidth="1"/>
    <col min="3" max="3" width="8.85546875" style="74" customWidth="1"/>
    <col min="4" max="4" width="9.140625" style="74" customWidth="1"/>
    <col min="5" max="5" width="10.42578125" style="74" customWidth="1"/>
    <col min="6" max="6" width="9.42578125" style="74" customWidth="1"/>
    <col min="7" max="7" width="9.140625" style="74" customWidth="1"/>
    <col min="8" max="8" width="9.42578125" style="74" customWidth="1"/>
    <col min="9" max="9" width="4.85546875" style="74" customWidth="1"/>
    <col min="10" max="10" width="9.140625" style="74" customWidth="1"/>
    <col min="11" max="11" width="7.140625" style="74" customWidth="1"/>
    <col min="12" max="12" width="9.42578125" style="74" customWidth="1"/>
    <col min="13" max="13" width="10" style="74" customWidth="1"/>
    <col min="14" max="14" width="6.42578125" style="74" customWidth="1"/>
    <col min="15" max="15" width="13.7109375" style="74" customWidth="1"/>
    <col min="16" max="16384" width="9" style="74"/>
  </cols>
  <sheetData>
    <row r="1" spans="1:15">
      <c r="A1" s="155" t="s">
        <v>83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>
      <c r="A2" s="155" t="s">
        <v>81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.75" thickBot="1">
      <c r="A3" s="155" t="s">
        <v>97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1">
      <c r="A4" s="75" t="s">
        <v>1</v>
      </c>
      <c r="B4" s="76"/>
      <c r="C4" s="139" t="s">
        <v>92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.75" thickBot="1">
      <c r="A5" s="134" t="s">
        <v>2</v>
      </c>
      <c r="B5" s="135"/>
      <c r="C5" s="141" t="s">
        <v>93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.75" thickBot="1">
      <c r="A6" s="82" t="s">
        <v>80</v>
      </c>
      <c r="B6" s="136"/>
      <c r="C6" s="149" t="s">
        <v>94</v>
      </c>
      <c r="D6" s="149" t="s">
        <v>95</v>
      </c>
      <c r="E6" s="132"/>
      <c r="F6" s="79"/>
      <c r="G6" s="79"/>
      <c r="H6" s="79"/>
      <c r="I6" s="80"/>
      <c r="J6" s="80"/>
      <c r="L6" s="81"/>
    </row>
    <row r="7" spans="1:15" ht="21.75" thickBot="1">
      <c r="A7" s="137" t="s">
        <v>24</v>
      </c>
      <c r="B7" s="138"/>
      <c r="C7" s="131" t="s">
        <v>91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.75" thickBot="1">
      <c r="A8" s="82" t="s">
        <v>29</v>
      </c>
      <c r="B8" s="83"/>
      <c r="C8" s="123" t="s">
        <v>90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.75" thickBot="1">
      <c r="A9" s="137" t="s">
        <v>32</v>
      </c>
      <c r="B9" s="138"/>
      <c r="C9" s="128" t="s">
        <v>91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.75" thickBot="1">
      <c r="A10" s="86" t="s">
        <v>89</v>
      </c>
      <c r="B10" s="87"/>
      <c r="C10" s="150" t="s">
        <v>96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.75" thickBot="1"/>
    <row r="12" spans="1:15" ht="18.75" thickTop="1">
      <c r="A12" s="88" t="s">
        <v>42</v>
      </c>
      <c r="B12" s="89" t="s">
        <v>4</v>
      </c>
      <c r="C12" s="90" t="s">
        <v>5</v>
      </c>
      <c r="D12" s="90" t="s">
        <v>73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82</v>
      </c>
      <c r="N12" s="157"/>
      <c r="O12" s="93" t="s">
        <v>49</v>
      </c>
    </row>
    <row r="13" spans="1:15" ht="18.75" thickBot="1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>
      <c r="A14" s="104" t="s">
        <v>98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>
      <c r="A15" s="41" t="s">
        <v>55</v>
      </c>
      <c r="B15" s="110">
        <f>'69-jan'!B16</f>
        <v>0</v>
      </c>
      <c r="C15" s="110">
        <f>'69-jan'!C16</f>
        <v>0</v>
      </c>
      <c r="D15" s="110">
        <f>'69-jan'!D16</f>
        <v>0</v>
      </c>
      <c r="E15" s="110">
        <f>'69-jan'!E16</f>
        <v>0</v>
      </c>
      <c r="F15" s="110">
        <f>'69-jan'!F16</f>
        <v>0</v>
      </c>
      <c r="G15" s="110">
        <f>'69-jan'!G16</f>
        <v>0</v>
      </c>
      <c r="H15" s="107">
        <f t="shared" ref="H15:H26" si="0">SUM(B15:G15)</f>
        <v>0</v>
      </c>
      <c r="I15" s="41" t="s">
        <v>62</v>
      </c>
      <c r="J15" s="111">
        <f>(17500)*I15</f>
        <v>875</v>
      </c>
      <c r="K15" s="111">
        <f>+-SUM(0)*3%</f>
        <v>0</v>
      </c>
      <c r="L15" s="111">
        <f>H15-J15</f>
        <v>-875</v>
      </c>
      <c r="M15" s="107">
        <f>L15</f>
        <v>-875</v>
      </c>
      <c r="N15" s="41" t="s">
        <v>99</v>
      </c>
      <c r="O15" s="107"/>
    </row>
    <row r="16" spans="1:15">
      <c r="A16" s="112" t="s">
        <v>56</v>
      </c>
      <c r="B16" s="110">
        <f>'69-Feb'!B16</f>
        <v>0</v>
      </c>
      <c r="C16" s="110">
        <f>'69-Feb'!C16</f>
        <v>0</v>
      </c>
      <c r="D16" s="110">
        <f>'69-Feb'!D16</f>
        <v>0</v>
      </c>
      <c r="E16" s="110">
        <f>'69-Feb'!E16</f>
        <v>0</v>
      </c>
      <c r="F16" s="110">
        <f>'69-Feb'!F16</f>
        <v>0</v>
      </c>
      <c r="G16" s="110">
        <f>'69-Feb'!G16</f>
        <v>0</v>
      </c>
      <c r="H16" s="107">
        <f>SUM(B16:G16)</f>
        <v>0</v>
      </c>
      <c r="I16" s="41" t="s">
        <v>62</v>
      </c>
      <c r="J16" s="111">
        <f t="shared" ref="J16:J26" si="1">(17500)*I16</f>
        <v>875</v>
      </c>
      <c r="K16" s="111">
        <f t="shared" ref="K16:K26" si="2">+-SUM(0)*3%</f>
        <v>0</v>
      </c>
      <c r="L16" s="111">
        <f t="shared" ref="L16:L25" si="3">H16-J16</f>
        <v>-875</v>
      </c>
      <c r="M16" s="107">
        <f t="shared" ref="M16:M26" si="4">L16</f>
        <v>-875</v>
      </c>
      <c r="N16" s="41" t="s">
        <v>100</v>
      </c>
      <c r="O16" s="107"/>
    </row>
    <row r="17" spans="1:15">
      <c r="A17" s="112" t="s">
        <v>57</v>
      </c>
      <c r="B17" s="110">
        <f>'69-Mar'!B16</f>
        <v>0</v>
      </c>
      <c r="C17" s="110">
        <f>'69-Mar'!C16</f>
        <v>0</v>
      </c>
      <c r="D17" s="110">
        <f>'69-Mar'!D16</f>
        <v>0</v>
      </c>
      <c r="E17" s="110">
        <f>'69-Mar'!E16</f>
        <v>0</v>
      </c>
      <c r="F17" s="110">
        <f>'69-Mar'!F16</f>
        <v>0</v>
      </c>
      <c r="G17" s="110">
        <f>'69-Mar'!G16</f>
        <v>0</v>
      </c>
      <c r="H17" s="107">
        <f t="shared" si="0"/>
        <v>0</v>
      </c>
      <c r="I17" s="41" t="s">
        <v>62</v>
      </c>
      <c r="J17" s="111">
        <f t="shared" si="1"/>
        <v>875</v>
      </c>
      <c r="K17" s="111">
        <f t="shared" si="2"/>
        <v>0</v>
      </c>
      <c r="L17" s="111">
        <f t="shared" si="3"/>
        <v>-875</v>
      </c>
      <c r="M17" s="107">
        <f t="shared" si="4"/>
        <v>-875</v>
      </c>
      <c r="N17" s="41" t="s">
        <v>101</v>
      </c>
      <c r="O17" s="107"/>
    </row>
    <row r="18" spans="1:15">
      <c r="A18" s="112" t="s">
        <v>58</v>
      </c>
      <c r="B18" s="110">
        <f>'69-Apr'!B16</f>
        <v>0</v>
      </c>
      <c r="C18" s="110">
        <f>'69-Apr'!C16</f>
        <v>0</v>
      </c>
      <c r="D18" s="110">
        <f>'69-Apr'!D16</f>
        <v>0</v>
      </c>
      <c r="E18" s="110">
        <f>'69-Apr'!E16</f>
        <v>0</v>
      </c>
      <c r="F18" s="110">
        <f>'69-Apr'!F16</f>
        <v>0</v>
      </c>
      <c r="G18" s="110">
        <f>'69-Apr'!G16</f>
        <v>0</v>
      </c>
      <c r="H18" s="107">
        <f t="shared" si="0"/>
        <v>0</v>
      </c>
      <c r="I18" s="41" t="s">
        <v>62</v>
      </c>
      <c r="J18" s="111">
        <f t="shared" si="1"/>
        <v>875</v>
      </c>
      <c r="K18" s="111">
        <f t="shared" si="2"/>
        <v>0</v>
      </c>
      <c r="L18" s="111">
        <f t="shared" si="3"/>
        <v>-875</v>
      </c>
      <c r="M18" s="107">
        <f t="shared" si="4"/>
        <v>-875</v>
      </c>
      <c r="N18" s="41" t="s">
        <v>102</v>
      </c>
      <c r="O18" s="107"/>
    </row>
    <row r="19" spans="1:15">
      <c r="A19" s="112" t="s">
        <v>59</v>
      </c>
      <c r="B19" s="110">
        <f>'69-May'!B16</f>
        <v>0</v>
      </c>
      <c r="C19" s="110">
        <f>'69-May'!C16</f>
        <v>0</v>
      </c>
      <c r="D19" s="110">
        <f>'69-May'!D16</f>
        <v>0</v>
      </c>
      <c r="E19" s="110">
        <f>'69-May'!E16</f>
        <v>0</v>
      </c>
      <c r="F19" s="110">
        <f>'69-May'!F16</f>
        <v>0</v>
      </c>
      <c r="G19" s="110">
        <f>'69-May'!G16</f>
        <v>0</v>
      </c>
      <c r="H19" s="107">
        <f t="shared" si="0"/>
        <v>0</v>
      </c>
      <c r="I19" s="41" t="s">
        <v>62</v>
      </c>
      <c r="J19" s="111">
        <f t="shared" si="1"/>
        <v>875</v>
      </c>
      <c r="K19" s="111">
        <f t="shared" si="2"/>
        <v>0</v>
      </c>
      <c r="L19" s="111">
        <f t="shared" si="3"/>
        <v>-875</v>
      </c>
      <c r="M19" s="107">
        <f t="shared" si="4"/>
        <v>-875</v>
      </c>
      <c r="N19" s="41" t="s">
        <v>103</v>
      </c>
      <c r="O19" s="107"/>
    </row>
    <row r="20" spans="1:15">
      <c r="A20" s="112" t="s">
        <v>60</v>
      </c>
      <c r="B20" s="110">
        <f>'69-Jun'!B16</f>
        <v>0</v>
      </c>
      <c r="C20" s="110">
        <f>'69-Jun'!C16</f>
        <v>0</v>
      </c>
      <c r="D20" s="110">
        <f>'69-Jun'!D16</f>
        <v>0</v>
      </c>
      <c r="E20" s="110">
        <f>'69-Jun'!E16</f>
        <v>0</v>
      </c>
      <c r="F20" s="110">
        <f>'69-Jun'!F16</f>
        <v>0</v>
      </c>
      <c r="G20" s="110">
        <f>'69-Jun'!G16</f>
        <v>0</v>
      </c>
      <c r="H20" s="107">
        <f t="shared" si="0"/>
        <v>0</v>
      </c>
      <c r="I20" s="41" t="s">
        <v>62</v>
      </c>
      <c r="J20" s="111">
        <f t="shared" si="1"/>
        <v>875</v>
      </c>
      <c r="K20" s="111">
        <f t="shared" si="2"/>
        <v>0</v>
      </c>
      <c r="L20" s="111">
        <f t="shared" si="3"/>
        <v>-875</v>
      </c>
      <c r="M20" s="107">
        <f t="shared" si="4"/>
        <v>-875</v>
      </c>
      <c r="N20" s="41" t="s">
        <v>104</v>
      </c>
      <c r="O20" s="107"/>
    </row>
    <row r="21" spans="1:15">
      <c r="A21" s="112" t="s">
        <v>61</v>
      </c>
      <c r="B21" s="110">
        <f>'69-Jul'!B16</f>
        <v>0</v>
      </c>
      <c r="C21" s="110">
        <f>'69-Jul'!C16</f>
        <v>0</v>
      </c>
      <c r="D21" s="110">
        <f>'69-Jul'!D16</f>
        <v>0</v>
      </c>
      <c r="E21" s="110">
        <f>'69-Jul'!E16</f>
        <v>0</v>
      </c>
      <c r="F21" s="110">
        <f>'69-Jul'!F16</f>
        <v>0</v>
      </c>
      <c r="G21" s="110">
        <f>'69-Jul'!G16</f>
        <v>0</v>
      </c>
      <c r="H21" s="107">
        <f t="shared" si="0"/>
        <v>0</v>
      </c>
      <c r="I21" s="41" t="s">
        <v>62</v>
      </c>
      <c r="J21" s="111">
        <f t="shared" si="1"/>
        <v>875</v>
      </c>
      <c r="K21" s="111">
        <f t="shared" si="2"/>
        <v>0</v>
      </c>
      <c r="L21" s="111">
        <f t="shared" si="3"/>
        <v>-875</v>
      </c>
      <c r="M21" s="107">
        <f t="shared" si="4"/>
        <v>-875</v>
      </c>
      <c r="N21" s="41" t="s">
        <v>105</v>
      </c>
      <c r="O21" s="107"/>
    </row>
    <row r="22" spans="1:15">
      <c r="A22" s="112" t="s">
        <v>63</v>
      </c>
      <c r="B22" s="110">
        <f>'69-Aug'!B16</f>
        <v>0</v>
      </c>
      <c r="C22" s="110">
        <f>'69-Aug'!C16</f>
        <v>0</v>
      </c>
      <c r="D22" s="110">
        <f>'69-Aug'!D16</f>
        <v>0</v>
      </c>
      <c r="E22" s="110">
        <f>'69-Aug'!E16</f>
        <v>0</v>
      </c>
      <c r="F22" s="110">
        <f>'69-Aug'!F16</f>
        <v>0</v>
      </c>
      <c r="G22" s="110">
        <f>'69-Aug'!G16</f>
        <v>0</v>
      </c>
      <c r="H22" s="107">
        <f t="shared" si="0"/>
        <v>0</v>
      </c>
      <c r="I22" s="41" t="s">
        <v>62</v>
      </c>
      <c r="J22" s="111">
        <f t="shared" si="1"/>
        <v>875</v>
      </c>
      <c r="K22" s="111">
        <f t="shared" si="2"/>
        <v>0</v>
      </c>
      <c r="L22" s="111">
        <f t="shared" si="3"/>
        <v>-875</v>
      </c>
      <c r="M22" s="107">
        <f t="shared" si="4"/>
        <v>-875</v>
      </c>
      <c r="N22" s="41" t="s">
        <v>106</v>
      </c>
      <c r="O22" s="107"/>
    </row>
    <row r="23" spans="1:15">
      <c r="A23" s="112" t="s">
        <v>64</v>
      </c>
      <c r="B23" s="110">
        <f>'69-Sep'!B16</f>
        <v>0</v>
      </c>
      <c r="C23" s="110">
        <f>'69-Sep'!C16</f>
        <v>0</v>
      </c>
      <c r="D23" s="110">
        <f>'69-Sep'!D16</f>
        <v>0</v>
      </c>
      <c r="E23" s="110">
        <f>'69-Sep'!E16</f>
        <v>0</v>
      </c>
      <c r="F23" s="110">
        <f>'69-Sep'!F16</f>
        <v>0</v>
      </c>
      <c r="G23" s="110">
        <f>'69-Sep'!G16</f>
        <v>0</v>
      </c>
      <c r="H23" s="107">
        <f t="shared" si="0"/>
        <v>0</v>
      </c>
      <c r="I23" s="41" t="s">
        <v>62</v>
      </c>
      <c r="J23" s="111">
        <f t="shared" si="1"/>
        <v>875</v>
      </c>
      <c r="K23" s="111">
        <f t="shared" si="2"/>
        <v>0</v>
      </c>
      <c r="L23" s="111">
        <f t="shared" si="3"/>
        <v>-875</v>
      </c>
      <c r="M23" s="107">
        <f t="shared" si="4"/>
        <v>-875</v>
      </c>
      <c r="N23" s="41" t="s">
        <v>107</v>
      </c>
      <c r="O23" s="107"/>
    </row>
    <row r="24" spans="1:15">
      <c r="A24" s="112" t="s">
        <v>65</v>
      </c>
      <c r="B24" s="110">
        <f>'69-Oct'!B16</f>
        <v>0</v>
      </c>
      <c r="C24" s="110">
        <f>'69-Oct'!C16</f>
        <v>0</v>
      </c>
      <c r="D24" s="110">
        <f>'69-Oct'!D16</f>
        <v>0</v>
      </c>
      <c r="E24" s="110">
        <f>'69-Oct'!E16</f>
        <v>0</v>
      </c>
      <c r="F24" s="110">
        <f>'69-Oct'!F16</f>
        <v>0</v>
      </c>
      <c r="G24" s="110">
        <f>'69-Oct'!G16</f>
        <v>0</v>
      </c>
      <c r="H24" s="107">
        <f t="shared" si="0"/>
        <v>0</v>
      </c>
      <c r="I24" s="41" t="s">
        <v>62</v>
      </c>
      <c r="J24" s="111">
        <f t="shared" si="1"/>
        <v>875</v>
      </c>
      <c r="K24" s="111">
        <f t="shared" si="2"/>
        <v>0</v>
      </c>
      <c r="L24" s="111">
        <f t="shared" si="3"/>
        <v>-875</v>
      </c>
      <c r="M24" s="107">
        <f t="shared" si="4"/>
        <v>-875</v>
      </c>
      <c r="N24" s="41" t="s">
        <v>108</v>
      </c>
      <c r="O24" s="107"/>
    </row>
    <row r="25" spans="1:15">
      <c r="A25" s="112" t="s">
        <v>66</v>
      </c>
      <c r="B25" s="110">
        <f>'69-Nov'!B16</f>
        <v>0</v>
      </c>
      <c r="C25" s="110">
        <f>'69-Nov'!C16</f>
        <v>0</v>
      </c>
      <c r="D25" s="110">
        <f>'69-Nov'!D16</f>
        <v>0</v>
      </c>
      <c r="E25" s="110">
        <f>'69-Nov'!E16</f>
        <v>0</v>
      </c>
      <c r="F25" s="110">
        <f>'69-Nov'!F16</f>
        <v>0</v>
      </c>
      <c r="G25" s="110">
        <f>'69-Nov'!G16</f>
        <v>0</v>
      </c>
      <c r="H25" s="107">
        <f t="shared" si="0"/>
        <v>0</v>
      </c>
      <c r="I25" s="41" t="s">
        <v>62</v>
      </c>
      <c r="J25" s="111">
        <f t="shared" si="1"/>
        <v>875</v>
      </c>
      <c r="K25" s="111">
        <f t="shared" si="2"/>
        <v>0</v>
      </c>
      <c r="L25" s="111">
        <f t="shared" si="3"/>
        <v>-875</v>
      </c>
      <c r="M25" s="107">
        <f t="shared" si="4"/>
        <v>-875</v>
      </c>
      <c r="N25" s="41" t="s">
        <v>109</v>
      </c>
      <c r="O25" s="107"/>
    </row>
    <row r="26" spans="1:15">
      <c r="A26" s="112" t="s">
        <v>67</v>
      </c>
      <c r="B26" s="110">
        <f>'69-Dec'!B16</f>
        <v>0</v>
      </c>
      <c r="C26" s="110">
        <f>'69-Dec'!C16</f>
        <v>0</v>
      </c>
      <c r="D26" s="110">
        <f>'69-Dec'!D16</f>
        <v>0</v>
      </c>
      <c r="E26" s="110">
        <f>'69-Dec'!E16</f>
        <v>0</v>
      </c>
      <c r="F26" s="110">
        <f>'69-Dec'!F16</f>
        <v>0</v>
      </c>
      <c r="G26" s="110">
        <f>'69-Dec'!G16</f>
        <v>0</v>
      </c>
      <c r="H26" s="107">
        <f t="shared" si="0"/>
        <v>0</v>
      </c>
      <c r="I26" s="41" t="s">
        <v>62</v>
      </c>
      <c r="J26" s="111">
        <f t="shared" si="1"/>
        <v>875</v>
      </c>
      <c r="K26" s="111">
        <f t="shared" si="2"/>
        <v>0</v>
      </c>
      <c r="L26" s="111">
        <f>H26-J26</f>
        <v>-875</v>
      </c>
      <c r="M26" s="107">
        <f t="shared" si="4"/>
        <v>-875</v>
      </c>
      <c r="N26" s="41" t="s">
        <v>110</v>
      </c>
      <c r="O26" s="107"/>
    </row>
    <row r="27" spans="1:15" ht="18.75" thickBot="1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.75" thickBot="1">
      <c r="A28" s="118" t="s">
        <v>68</v>
      </c>
      <c r="B28" s="119">
        <f t="shared" ref="B28:H28" si="5">SUM(B15:B27)</f>
        <v>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0</v>
      </c>
      <c r="I28" s="120"/>
      <c r="J28" s="120">
        <f>SUM(J15:J27)</f>
        <v>10500</v>
      </c>
      <c r="K28" s="120">
        <f>SUM(K15:K27)</f>
        <v>0</v>
      </c>
      <c r="L28" s="119">
        <f>SUM(L15:L27)</f>
        <v>-10500</v>
      </c>
      <c r="M28" s="121">
        <f>SUM(M15:M27)</f>
        <v>-10500</v>
      </c>
      <c r="N28" s="122"/>
      <c r="O28" s="121"/>
    </row>
    <row r="29" spans="1:15" ht="18.75" thickTop="1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69-jan</vt:lpstr>
      <vt:lpstr>69-Feb</vt:lpstr>
      <vt:lpstr>69-Mar</vt:lpstr>
      <vt:lpstr>69-Apr</vt:lpstr>
      <vt:lpstr>69-May</vt:lpstr>
      <vt:lpstr>69-Jun</vt:lpstr>
      <vt:lpstr>69-Jul</vt:lpstr>
      <vt:lpstr>69-Aug</vt:lpstr>
      <vt:lpstr>69-Sep</vt:lpstr>
      <vt:lpstr>69-Oct</vt:lpstr>
      <vt:lpstr>69-Nov</vt:lpstr>
      <vt:lpstr>69-Dec</vt:lpstr>
      <vt:lpstr>ด้านหลัง</vt:lpstr>
      <vt:lpstr>ใบสรุป-69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2025-09-30T04:57:19Z</cp:lastPrinted>
  <dcterms:created xsi:type="dcterms:W3CDTF">2009-03-01T02:58:04Z</dcterms:created>
  <dcterms:modified xsi:type="dcterms:W3CDTF">2026-02-11T09:02:34Z</dcterms:modified>
</cp:coreProperties>
</file>