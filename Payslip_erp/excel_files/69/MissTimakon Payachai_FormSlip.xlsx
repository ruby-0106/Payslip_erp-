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3F3E2313-813A-4069-AD27-8E69AEEF80CE}" xr6:coauthVersionLast="47" xr6:coauthVersionMax="47" xr10:uidLastSave="{00000000-0000-0000-0000-000000000000}"/>
  <bookViews>
    <workbookView xWindow="-120" yWindow="-120" windowWidth="15600" windowHeight="11160" tabRatio="601" firstSheet="8" activeTab="8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L19" i="44" s="1"/>
  <c r="J20" i="44"/>
  <c r="J21" i="44"/>
  <c r="J22" i="44"/>
  <c r="J23" i="44"/>
  <c r="L23" i="44" s="1"/>
  <c r="J24" i="44"/>
  <c r="J25" i="44"/>
  <c r="J26" i="44"/>
  <c r="J15" i="44"/>
  <c r="L15" i="44" s="1"/>
  <c r="H18" i="44"/>
  <c r="L18" i="44" s="1"/>
  <c r="K18" i="44"/>
  <c r="B20" i="51"/>
  <c r="B20" i="52"/>
  <c r="I20" i="52" s="1"/>
  <c r="B20" i="53"/>
  <c r="B20" i="54"/>
  <c r="B20" i="55"/>
  <c r="B20" i="56"/>
  <c r="B20" i="57"/>
  <c r="B20" i="58"/>
  <c r="I20" i="58" s="1"/>
  <c r="B20" i="59"/>
  <c r="B20" i="60"/>
  <c r="B20" i="50"/>
  <c r="I20" i="50" s="1"/>
  <c r="I20" i="54"/>
  <c r="B20" i="28"/>
  <c r="D24" i="28" s="1"/>
  <c r="L16" i="44"/>
  <c r="L17" i="44"/>
  <c r="M17" i="44" s="1"/>
  <c r="L20" i="44"/>
  <c r="L21" i="44"/>
  <c r="L22" i="44"/>
  <c r="L24" i="44"/>
  <c r="L25" i="44"/>
  <c r="K16" i="44"/>
  <c r="K17" i="44"/>
  <c r="K19" i="44"/>
  <c r="K20" i="44"/>
  <c r="K21" i="44"/>
  <c r="K22" i="44"/>
  <c r="K23" i="44"/>
  <c r="K24" i="44"/>
  <c r="K25" i="44"/>
  <c r="K15" i="44"/>
  <c r="I16" i="6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F8" i="28"/>
  <c r="F7" i="28"/>
  <c r="I20" i="60"/>
  <c r="I20" i="59"/>
  <c r="I16" i="59"/>
  <c r="I16" i="58"/>
  <c r="I20" i="57"/>
  <c r="I16" i="57"/>
  <c r="I20" i="56"/>
  <c r="I16" i="56"/>
  <c r="I24" i="56" s="1"/>
  <c r="I20" i="55"/>
  <c r="I16" i="55"/>
  <c r="I16" i="54"/>
  <c r="I20" i="53"/>
  <c r="I16" i="53"/>
  <c r="I16" i="52"/>
  <c r="I20" i="51"/>
  <c r="I16" i="51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K26" i="44" s="1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I16" i="28"/>
  <c r="B24" i="28" s="1"/>
  <c r="I24" i="52" l="1"/>
  <c r="D24" i="50"/>
  <c r="D24" i="51" s="1"/>
  <c r="D24" i="52" s="1"/>
  <c r="D24" i="53" s="1"/>
  <c r="D24" i="54" s="1"/>
  <c r="D24" i="55" s="1"/>
  <c r="D24" i="56" s="1"/>
  <c r="D24" i="57" s="1"/>
  <c r="D24" i="58" s="1"/>
  <c r="D24" i="59" s="1"/>
  <c r="D24" i="60" s="1"/>
  <c r="I24" i="54"/>
  <c r="I24" i="58"/>
  <c r="I24" i="60"/>
  <c r="I24" i="51"/>
  <c r="I24" i="53"/>
  <c r="I24" i="55"/>
  <c r="I24" i="57"/>
  <c r="I24" i="59"/>
  <c r="I24" i="50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D28" i="44"/>
  <c r="H17" i="44"/>
  <c r="H16" i="44"/>
  <c r="H26" i="44"/>
  <c r="L26" i="44" s="1"/>
  <c r="E28" i="44"/>
  <c r="F28" i="44"/>
  <c r="B28" i="44"/>
  <c r="H15" i="44"/>
  <c r="M15" i="44" s="1"/>
  <c r="I20" i="28"/>
  <c r="I24" i="28" s="1"/>
  <c r="K28" i="44"/>
  <c r="M26" i="44" l="1"/>
  <c r="M25" i="44"/>
  <c r="M24" i="44"/>
  <c r="M23" i="44"/>
  <c r="M22" i="44"/>
  <c r="M21" i="44"/>
  <c r="M20" i="44"/>
  <c r="M19" i="44"/>
  <c r="M18" i="44"/>
  <c r="M16" i="44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<sst xmlns="http://schemas.openxmlformats.org/spreadsheetml/2006/main" count="722" uniqueCount="124">
  <si>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</si>
  <si>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</si>
  <si>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</si>
  <si>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</si>
  <si>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</si>
  <si>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</si>
  <si>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</si>
  <si>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</si>
  <si>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</si>
  <si>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</si>
  <si>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</si>
  <si>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</si>
  <si>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</si>
  <si>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</si>
  <si>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</si>
  <si>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</si>
  <si>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</si>
  <si>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</si>
  <si>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</si>
  <si>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</si>
  <si>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</si>
  <si>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</si>
  <si>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</si>
  <si>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</si>
  <si>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</si>
  <si>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</si>
  <si>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</si>
  <si>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</si>
  <si>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</si>
  <si>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</si>
  <si>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</si>
  <si>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</si>
  <si>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</si>
  <si>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</si>
  <si>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</si>
  <si>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</si>
  <si>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</si>
  <si>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</si>
  <si>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</si>
  <si>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</si>
  <si>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</si>
  <si>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</si>
  <si>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</si>
  <si>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</si>
  <si>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</si>
  <si>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</si>
  <si>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</si>
  <si>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</si>
  <si>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</si>
  <si>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</si>
  <si>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</si>
  <si>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</si>
  <si>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</si>
  <si>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</si>
  <si>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</si>
  <si>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</si>
  <si>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</si>
  <si>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</si>
  <si>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</si>
  <si>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</si>
  <si>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</si>
  <si>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</si>
  <si>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</si>
  <si>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</si>
  <si>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</si>
  <si>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</si>
  <si>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</si>
  <si>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</si>
  <si>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</si>
  <si>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</si>
  <si>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</si>
  <si>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</si>
  <si>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</si>
  <si>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</si>
  <si>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</si>
  <si>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</si>
  <si>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</si>
  <si>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</si>
  <si>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</si>
  <si>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</si>
  <si>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</si>
  <si>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</si>
  <si>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</si>
  <si>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</si>
  <si>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</si>
  <si>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</si>
  <si>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</si>
  <si>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</si>
  <si>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</si>
  <si>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</si>
  <si>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Office</t>
  </si>
  <si>
    <t>641207</t>
  </si>
  <si>
    <t>3540300156774</t>
  </si>
  <si>
    <t>Administration Department</t>
  </si>
  <si>
    <t>Admin</t>
  </si>
  <si>
    <t>Miss Timakon Payachai</t>
  </si>
  <si>
    <t>นางสาวฐิมากร พยาชัย</t>
  </si>
  <si>
    <t>04/08/2568</t>
  </si>
  <si>
    <t>ประจำปี  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</si>
  <si>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</si>
  <si>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</si>
  <si>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</si>
  <si>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</si>
  <si>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</si>
  <si>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</si>
  <si>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</si>
  <si>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</si>
  <si>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</si>
  <si>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</si>
  <si>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</si>
  <si>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</si>
  <si>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</si>
  <si>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01/01/2570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</si>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</sst>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0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abSelected="1" topLeftCell="A4" zoomScale="110" zoomScaleNormal="110" workbookViewId="0">
      <selection activeCell="E15" sqref="E15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zoomScale="110" zoomScaleNormal="110" workbookViewId="0">
      <selection activeCell="C9" sqref="C9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123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zoomScale="110" zoomScaleNormal="110" workbookViewId="0">
      <selection activeCell="D25" sqref="D25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Miss Timakon Payachai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นางสาวฐิมากร พยาชัย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f>I16*3%</f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workbookViewId="0">
      <selection activeCell="G9" sqref="G9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9.14062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98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95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96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6"/>
      <c r="C6" s="150" t="s">
        <v>91</v>
      </c>
      <c r="D6" s="150" t="s">
        <v>92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93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94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49" t="s">
        <v>97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99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B15*3%</f>
        <v>0</v>
      </c>
      <c r="L15" s="111">
        <f>H15-J15-K15</f>
        <v>-875</v>
      </c>
      <c r="M15" s="107">
        <f>L15</f>
        <v>-875</v>
      </c>
      <c r="N15" s="41" t="s">
        <v>100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B16*3%</f>
        <v>0</v>
      </c>
      <c r="L16" s="111">
        <f t="shared" ref="L16:L26" si="3">H16-J16-K16</f>
        <v>-875</v>
      </c>
      <c r="M16" s="107">
        <f t="shared" ref="M16:M26" si="4">L16</f>
        <v>-875</v>
      </c>
      <c r="N16" s="41" t="s">
        <v>101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>L17</f>
        <v>-875</v>
      </c>
      <c r="N17" s="41" t="s">
        <v>102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>SUM(B18:G18)</f>
        <v>0</v>
      </c>
      <c r="I18" s="41" t="s">
        <v>62</v>
      </c>
      <c r="J18" s="111">
        <f t="shared" si="1"/>
        <v>875</v>
      </c>
      <c r="K18" s="111">
        <f>B18*3%</f>
        <v>0</v>
      </c>
      <c r="L18" s="111">
        <f>H18-J18-K18</f>
        <v>-875</v>
      </c>
      <c r="M18" s="107">
        <f t="shared" si="4"/>
        <v>-875</v>
      </c>
      <c r="N18" s="41" t="s">
        <v>103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104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105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106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107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108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109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110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 t="shared" si="3"/>
        <v>-875</v>
      </c>
      <c r="M26" s="107">
        <f t="shared" si="4"/>
        <v>-875</v>
      </c>
      <c r="N26" s="41" t="s">
        <v>111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2026-02-16T08:33:26Z</dcterms:modified>
</cp:coreProperties>
</file>